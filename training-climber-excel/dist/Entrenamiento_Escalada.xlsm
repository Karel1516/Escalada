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3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padil\Documents\Escalada\training-climber-excel\dist\"/>
    </mc:Choice>
  </mc:AlternateContent>
  <xr:revisionPtr revIDLastSave="0" documentId="13_ncr:1_{2A958093-EE2E-4EEE-8B7F-6E2ACAE64DB4}" xr6:coauthVersionLast="47" xr6:coauthVersionMax="47" xr10:uidLastSave="{00000000-0000-0000-0000-000000000000}"/>
  <bookViews>
    <workbookView xWindow="3936" yWindow="3720" windowWidth="17280" windowHeight="9960" xr2:uid="{1298A1A7-807A-4FE0-B7FB-5FFA255FD454}"/>
  </bookViews>
  <sheets>
    <sheet name="00_INICIO" sheetId="24" r:id="rId1"/>
    <sheet name="01_PERFIL" sheetId="23" r:id="rId2"/>
    <sheet name="02_OBJETIVOS" sheetId="22" r:id="rId3"/>
    <sheet name="03_DISPONIBILIDAD" sheetId="21" r:id="rId4"/>
    <sheet name="04_EQUIPO" sheetId="20" r:id="rId5"/>
    <sheet name="05_EVALUACION" sheetId="19" r:id="rId6"/>
    <sheet name="06_PLAN" sheetId="18" r:id="rId7"/>
    <sheet name="07_SESION_ACTUAL" sheetId="17" r:id="rId8"/>
    <sheet name="08_REGISTRO" sheetId="16" r:id="rId9"/>
    <sheet name="09_PROGRESO" sheetId="15" r:id="rId10"/>
    <sheet name="10_EJERCICIOS" sheetId="14" r:id="rId11"/>
    <sheet name="11_TESTS" sheetId="13" r:id="rId12"/>
    <sheet name="12_REGLAS" sheetId="12" r:id="rId13"/>
    <sheet name="13_CONDICIONES" sheetId="11" r:id="rId14"/>
    <sheet name="14_ACCIONES" sheetId="10" r:id="rId15"/>
    <sheet name="15_PARAMETROS" sheetId="9" r:id="rId16"/>
    <sheet name="16_RULESETS" sheetId="8" r:id="rId17"/>
    <sheet name="17_EVIDENCIA" sheetId="7" r:id="rId18"/>
    <sheet name="18_RULE_EVIDENCE" sheetId="6" r:id="rId19"/>
    <sheet name="19_ESCALAS" sheetId="5" r:id="rId20"/>
    <sheet name="20_HISTORIAL_TESTS" sheetId="4" r:id="rId21"/>
    <sheet name="21_LOG_DECISIONES" sheetId="3" r:id="rId22"/>
    <sheet name="22_CONFIGURACION" sheetId="2" r:id="rId23"/>
    <sheet name="23_DEBUG" sheetId="1" r:id="rId24"/>
  </sheets>
  <functionGroups builtInGroupCount="19"/>
  <definedNames>
    <definedName name="cfgCycleID">'22_CONFIGURACION'!$B$5</definedName>
    <definedName name="cfgDebug">'22_CONFIGURACION'!$B$6</definedName>
    <definedName name="cfgRulesetVersion">'22_CONFIGURACION'!$B$4</definedName>
    <definedName name="inpAge">'01_PERFIL'!$B$6</definedName>
    <definedName name="inpAlias">'01_PERFIL'!$B$5</definedName>
    <definedName name="inpAvailableDays">'03_DISPONIBILIDAD'!$B$6</definedName>
    <definedName name="inpComments">'08_REGISTRO'!$B$15</definedName>
    <definedName name="inpCompletion">'08_REGISTRO'!$B$6</definedName>
    <definedName name="inpDaysAvailable">'03_DISPONIBILIDAD'!$B$4</definedName>
    <definedName name="inpExperienceYears">'01_PERFIL'!$B$11</definedName>
    <definedName name="inpFatigue">'08_REGISTRO'!$B$8</definedName>
    <definedName name="inpFeedbackSession">'08_REGISTRO'!$B$4</definedName>
    <definedName name="inpFeedbackStatus">'08_REGISTRO'!$B$5</definedName>
    <definedName name="inpFingerPain">'01_PERFIL'!$B$13</definedName>
    <definedName name="inpHasBands">'04_EQUIPO'!$B$5</definedName>
    <definedName name="inpHeight">'01_PERFIL'!$B$9</definedName>
    <definedName name="inpLoadDone">'08_REGISTRO'!$B$13</definedName>
    <definedName name="inpMinRestHours">'03_DISPONIBILIDAD'!$B$7</definedName>
    <definedName name="inpModality">'01_PERFIL'!$B$12</definedName>
    <definedName name="inpPainStatus">'01_PERFIL'!$B$14</definedName>
    <definedName name="inpPrimaryEquipment">'04_EQUIPO'!$B$4</definedName>
    <definedName name="inpPrimaryObjective">'02_OBJETIVOS'!$B$4</definedName>
    <definedName name="inpQuality">'08_REGISTRO'!$B$9</definedName>
    <definedName name="inpRepsDone">'08_REGISTRO'!$B$12</definedName>
    <definedName name="inpSessionMinutes">'03_DISPONIBILIDAD'!$B$5</definedName>
    <definedName name="inpSessionPain">'08_REGISTRO'!$B$10</definedName>
    <definedName name="inpSessionRPE">'08_REGISTRO'!$B$7</definedName>
    <definedName name="inpSetsDone">'08_REGISTRO'!$B$11</definedName>
    <definedName name="inpSex">'01_PERFIL'!$B$7</definedName>
    <definedName name="inpTestID">'05_EVALUACION'!$B$4</definedName>
    <definedName name="inpTestObservations">'05_EVALUACION'!$B$8</definedName>
    <definedName name="inpTestProtocol">'05_EVALUACION'!$B$7</definedName>
    <definedName name="inpTestResult">'05_EVALUACION'!$B$5</definedName>
    <definedName name="inpTestUnit">'05_EVALUACION'!$B$6</definedName>
    <definedName name="inpTimeDone">'08_REGISTRO'!$B$14</definedName>
    <definedName name="inpUserID">'01_PERFIL'!$B$4</definedName>
    <definedName name="inpWeight">'01_PERFIL'!$B$8</definedName>
    <definedName name="inpWingspan">'01_PERFIL'!$B$10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6" i="24" l="1"/>
</calcChain>
</file>

<file path=xl/sharedStrings.xml><?xml version="1.0" encoding="utf-8"?>
<sst xmlns="http://schemas.openxmlformats.org/spreadsheetml/2006/main" count="1334" uniqueCount="655">
  <si>
    <t>00_INICIO</t>
  </si>
  <si>
    <t>Sistema versionado, auditable y explicable de prescripciÃ³n para escalada</t>
  </si>
  <si>
    <t>01_PERFIL</t>
  </si>
  <si>
    <t>02_OBJETIVOS</t>
  </si>
  <si>
    <t>03_DISPONIBILIDAD</t>
  </si>
  <si>
    <t>04_EQUIPO</t>
  </si>
  <si>
    <t>05_EVALUACION</t>
  </si>
  <si>
    <t>06_PLAN</t>
  </si>
  <si>
    <t>07_SESION_ACTUAL</t>
  </si>
  <si>
    <t>08_REGISTRO</t>
  </si>
  <si>
    <t>09_PROGRESO</t>
  </si>
  <si>
    <t>10_EJERCICIOS</t>
  </si>
  <si>
    <t>11_TESTS</t>
  </si>
  <si>
    <t>12_REGLAS</t>
  </si>
  <si>
    <t>13_CONDICIONES</t>
  </si>
  <si>
    <t>14_ACCIONES</t>
  </si>
  <si>
    <t>15_PARAMETROS</t>
  </si>
  <si>
    <t>16_RULESETS</t>
  </si>
  <si>
    <t>17_EVIDENCIA</t>
  </si>
  <si>
    <t>18_RULE_EVIDENCE</t>
  </si>
  <si>
    <t>19_ESCALAS</t>
  </si>
  <si>
    <t>20_HISTORIAL_TESTS</t>
  </si>
  <si>
    <t>21_LOG_DECISIONES</t>
  </si>
  <si>
    <t>22_CONFIGURACION</t>
  </si>
  <si>
    <t>23_DEBUG</t>
  </si>
  <si>
    <t>Panel principal</t>
  </si>
  <si>
    <t>Ruleset seleccionado</t>
  </si>
  <si>
    <t>Aviso</t>
  </si>
  <si>
    <t>No diagnostica. Ante dolor o lesiÃ³n, detenga estÃ­mulos agravantes y consulte a un profesional sanitario cualificado.</t>
  </si>
  <si>
    <t>UserID</t>
  </si>
  <si>
    <t>USR-001</t>
  </si>
  <si>
    <t>Alias</t>
  </si>
  <si>
    <t>Escalador</t>
  </si>
  <si>
    <t>Edad</t>
  </si>
  <si>
    <t>Sexo (opcional)</t>
  </si>
  <si>
    <t>Peso kg</t>
  </si>
  <si>
    <t>Estatura cm</t>
  </si>
  <si>
    <t>Envergadura cm</t>
  </si>
  <si>
    <t>AÃ±os escalando</t>
  </si>
  <si>
    <t>Modalidad</t>
  </si>
  <si>
    <t>Mixto</t>
  </si>
  <si>
    <t>Dolor dedos 0-10</t>
  </si>
  <si>
    <t>Estado limitaciÃ³n</t>
  </si>
  <si>
    <t>ninguna</t>
  </si>
  <si>
    <t>Age</t>
  </si>
  <si>
    <t>Sex</t>
  </si>
  <si>
    <t>WeightKg</t>
  </si>
  <si>
    <t>HeightCm</t>
  </si>
  <si>
    <t>WingspanCm</t>
  </si>
  <si>
    <t>ExperienceYears</t>
  </si>
  <si>
    <t>Modality</t>
  </si>
  <si>
    <t>CreatedAt</t>
  </si>
  <si>
    <t>Status</t>
  </si>
  <si>
    <t>LimitationID</t>
  </si>
  <si>
    <t>Region</t>
  </si>
  <si>
    <t>Severity</t>
  </si>
  <si>
    <t>Notes</t>
  </si>
  <si>
    <t>RecordedAt</t>
  </si>
  <si>
    <t>Objetivo principal</t>
  </si>
  <si>
    <t>Fuerza de dedos</t>
  </si>
  <si>
    <t>ObjectiveEntryID</t>
  </si>
  <si>
    <t>Objective</t>
  </si>
  <si>
    <t>Priority</t>
  </si>
  <si>
    <t>Weight</t>
  </si>
  <si>
    <t>IsPrimary</t>
  </si>
  <si>
    <t>DÃ­as disponibles</t>
  </si>
  <si>
    <t>Minutos por sesiÃ³n</t>
  </si>
  <si>
    <t>DÃ­as concretos</t>
  </si>
  <si>
    <t>Lunes|MiÃ©rcoles|SÃ¡bado</t>
  </si>
  <si>
    <t>Descanso mÃ­nimo h</t>
  </si>
  <si>
    <t>Equipo principal</t>
  </si>
  <si>
    <t>Hangboard</t>
  </si>
  <si>
    <t>Bandas disponibles</t>
  </si>
  <si>
    <t>UserEquipmentID</t>
  </si>
  <si>
    <t>Equipment</t>
  </si>
  <si>
    <t>Available</t>
  </si>
  <si>
    <t>TestID</t>
  </si>
  <si>
    <t>T_MIFS20</t>
  </si>
  <si>
    <t>Resultado</t>
  </si>
  <si>
    <t>Unidad</t>
  </si>
  <si>
    <t>N/kg</t>
  </si>
  <si>
    <t>Protocolo</t>
  </si>
  <si>
    <t>Protocolo estandarizado sin dolor</t>
  </si>
  <si>
    <t>Observaciones</t>
  </si>
  <si>
    <t>SessionID</t>
  </si>
  <si>
    <t>MANUAL</t>
  </si>
  <si>
    <t>Estado</t>
  </si>
  <si>
    <t>completada</t>
  </si>
  <si>
    <t>Cumplimiento %</t>
  </si>
  <si>
    <t>RPE</t>
  </si>
  <si>
    <t>Fatiga 0-10</t>
  </si>
  <si>
    <t>Calidad 1-5</t>
  </si>
  <si>
    <t>Dolor 0-10</t>
  </si>
  <si>
    <t>Series</t>
  </si>
  <si>
    <t>Reps</t>
  </si>
  <si>
    <t>Carga</t>
  </si>
  <si>
    <t>Tiempo</t>
  </si>
  <si>
    <t>Comentarios</t>
  </si>
  <si>
    <t>FeedbackID</t>
  </si>
  <si>
    <t>CompletionPct</t>
  </si>
  <si>
    <t>Fatigue</t>
  </si>
  <si>
    <t>Quality</t>
  </si>
  <si>
    <t>Pain</t>
  </si>
  <si>
    <t>SetsDone</t>
  </si>
  <si>
    <t>RepsDone</t>
  </si>
  <si>
    <t>LoadDone</t>
  </si>
  <si>
    <t>TimeDone</t>
  </si>
  <si>
    <t>Comments</t>
  </si>
  <si>
    <t>Timestamp</t>
  </si>
  <si>
    <t>PlanID</t>
  </si>
  <si>
    <t>RulePackageVersionUsed</t>
  </si>
  <si>
    <t>PrimaryObjective</t>
  </si>
  <si>
    <t>Date</t>
  </si>
  <si>
    <t>Day</t>
  </si>
  <si>
    <t>PlannedMinutes</t>
  </si>
  <si>
    <t>Ruleset</t>
  </si>
  <si>
    <t>SessionExerciseID</t>
  </si>
  <si>
    <t>ExerciseID</t>
  </si>
  <si>
    <t>Exercise</t>
  </si>
  <si>
    <t>Sets</t>
  </si>
  <si>
    <t>Duration</t>
  </si>
  <si>
    <t>Intensity</t>
  </si>
  <si>
    <t>Load</t>
  </si>
  <si>
    <t>Rest</t>
  </si>
  <si>
    <t>RPEObjective</t>
  </si>
  <si>
    <t>RuleIDs</t>
  </si>
  <si>
    <t>Consulte tblSessionExercises en 06_PLAN y filtre por fecha/sesiÃ³n.</t>
  </si>
  <si>
    <t>DecisiÃ³n actual</t>
  </si>
  <si>
    <t>MAINTAIN</t>
  </si>
  <si>
    <t>Name</t>
  </si>
  <si>
    <t>Category</t>
  </si>
  <si>
    <t>Subcategory</t>
  </si>
  <si>
    <t>LevelMin</t>
  </si>
  <si>
    <t>LevelMax</t>
  </si>
  <si>
    <t>BodyZone</t>
  </si>
  <si>
    <t>StimulusType</t>
  </si>
  <si>
    <t>PrescriptionUnit</t>
  </si>
  <si>
    <t>MinSets</t>
  </si>
  <si>
    <t>MaxSets</t>
  </si>
  <si>
    <t>MinReps</t>
  </si>
  <si>
    <t>MaxReps</t>
  </si>
  <si>
    <t>IntensityType</t>
  </si>
  <si>
    <t>RIR</t>
  </si>
  <si>
    <t>Frequency</t>
  </si>
  <si>
    <t>ProgressionRule</t>
  </si>
  <si>
    <t>RegressionRule</t>
  </si>
  <si>
    <t>Contraindications</t>
  </si>
  <si>
    <t>EvidenceID</t>
  </si>
  <si>
    <t>Tags</t>
  </si>
  <si>
    <t>EstimatedMinutes</t>
  </si>
  <si>
    <t>EX_CLIMB_EASY</t>
  </si>
  <si>
    <t>Escalada técnica submáxima</t>
  </si>
  <si>
    <t>Técnica</t>
  </si>
  <si>
    <t>Movimiento</t>
  </si>
  <si>
    <t>Principiante</t>
  </si>
  <si>
    <t>Élite</t>
  </si>
  <si>
    <t>Muro</t>
  </si>
  <si>
    <t>Global</t>
  </si>
  <si>
    <t>Skill</t>
  </si>
  <si>
    <t>minutos</t>
  </si>
  <si>
    <t>PR_FEEDBACK</t>
  </si>
  <si>
    <t>RG_PAIN</t>
  </si>
  <si>
    <t>Dolor limitante</t>
  </si>
  <si>
    <t>E001</t>
  </si>
  <si>
    <t>technique|easy</t>
  </si>
  <si>
    <t>Priorizar calidad</t>
  </si>
  <si>
    <t>EX_BOULDER_LIMIT</t>
  </si>
  <si>
    <t>Boulder de límite</t>
  </si>
  <si>
    <t>Potencia</t>
  </si>
  <si>
    <t>Problemas cortos</t>
  </si>
  <si>
    <t>Intermedio</t>
  </si>
  <si>
    <t>Boulder</t>
  </si>
  <si>
    <t>Dedos</t>
  </si>
  <si>
    <t>Power</t>
  </si>
  <si>
    <t>intentos</t>
  </si>
  <si>
    <t>Dolor de dedos hombro o codo</t>
  </si>
  <si>
    <t>power|boulder</t>
  </si>
  <si>
    <t>Descansos completos</t>
  </si>
  <si>
    <t>EX_HANG_MAX</t>
  </si>
  <si>
    <t>Suspensión isométrica en regleta 20 mm</t>
  </si>
  <si>
    <t>Isométrico</t>
  </si>
  <si>
    <t>MaxStrength</t>
  </si>
  <si>
    <t>segundos</t>
  </si>
  <si>
    <t>Dolor o lesión en dedos</t>
  </si>
  <si>
    <t>E001|E002</t>
  </si>
  <si>
    <t>finger|hangboard</t>
  </si>
  <si>
    <t>No es adecuada para principiante sin supervisión</t>
  </si>
  <si>
    <t>EX_PULL</t>
  </si>
  <si>
    <t>Tracción vertical</t>
  </si>
  <si>
    <t>Fuerza</t>
  </si>
  <si>
    <t>Tracción</t>
  </si>
  <si>
    <t>Fuerza máxima</t>
  </si>
  <si>
    <t>Barra</t>
  </si>
  <si>
    <t>Hombro</t>
  </si>
  <si>
    <t>Strength</t>
  </si>
  <si>
    <t>repeticiones</t>
  </si>
  <si>
    <t>Dolor de hombro o codo</t>
  </si>
  <si>
    <t>E002</t>
  </si>
  <si>
    <t>pull|general</t>
  </si>
  <si>
    <t>Escalar asistencia o carga</t>
  </si>
  <si>
    <t>EX_PUSH</t>
  </si>
  <si>
    <t>Empuje antagonista</t>
  </si>
  <si>
    <t>Antagonistas</t>
  </si>
  <si>
    <t>Acondicionamiento general</t>
  </si>
  <si>
    <t>Bandas</t>
  </si>
  <si>
    <t>Dolor de hombro</t>
  </si>
  <si>
    <t>E007</t>
  </si>
  <si>
    <t>antagonist|indirect</t>
  </si>
  <si>
    <t>Evidencia indirecta no específica</t>
  </si>
  <si>
    <t>EX_CORE</t>
  </si>
  <si>
    <t>Core anti-extensión</t>
  </si>
  <si>
    <t>Core</t>
  </si>
  <si>
    <t>Estabilidad</t>
  </si>
  <si>
    <t>Dolor de espalda</t>
  </si>
  <si>
    <t>core|indirect</t>
  </si>
  <si>
    <t>Evidencia indirecta</t>
  </si>
  <si>
    <t>EX_AERO</t>
  </si>
  <si>
    <t>Escalada continua fácil</t>
  </si>
  <si>
    <t>Resistencia</t>
  </si>
  <si>
    <t>Aeróbica</t>
  </si>
  <si>
    <t>Deportiva</t>
  </si>
  <si>
    <t>Antebrazo</t>
  </si>
  <si>
    <t>Endurance</t>
  </si>
  <si>
    <t>endurance|climbing</t>
  </si>
  <si>
    <t>Intensidad conversacional por heurística</t>
  </si>
  <si>
    <t>EX_RECOVERY</t>
  </si>
  <si>
    <t>Movilidad y recuperación</t>
  </si>
  <si>
    <t>Recuperación</t>
  </si>
  <si>
    <t>Movilidad</t>
  </si>
  <si>
    <t>Retorno progresivo</t>
  </si>
  <si>
    <t>Recovery</t>
  </si>
  <si>
    <t>Dolor agudo</t>
  </si>
  <si>
    <t>DESIGN</t>
  </si>
  <si>
    <t>recovery</t>
  </si>
  <si>
    <t>No es tratamiento</t>
  </si>
  <si>
    <t>RequiredLevel</t>
  </si>
  <si>
    <t>Unit</t>
  </si>
  <si>
    <t>Protocol</t>
  </si>
  <si>
    <t>Eligibility</t>
  </si>
  <si>
    <t>Risks</t>
  </si>
  <si>
    <t>SourceID</t>
  </si>
  <si>
    <t>Validity</t>
  </si>
  <si>
    <t>Reliability</t>
  </si>
  <si>
    <t>Limitations</t>
  </si>
  <si>
    <t>Fuerza isométrica máxima en regleta 20 mm</t>
  </si>
  <si>
    <t>Calentamiento estandarizado; agarre abierto o semiarqueado; registrar mejor intento con dispositivo calibrado</t>
  </si>
  <si>
    <t>Sin dolor activo y con experiencia en hangboard</t>
  </si>
  <si>
    <t>E004</t>
  </si>
  <si>
    <t>Asociada al constructo de fuerza específica</t>
  </si>
  <si>
    <t>Buena a excelente en múltiples configuraciones según revisión</t>
  </si>
  <si>
    <t>No existe un protocolo universal; requiere instrumentación</t>
  </si>
  <si>
    <t>T_MAXHANG20</t>
  </si>
  <si>
    <t>Suspensión máxima en 20 mm</t>
  </si>
  <si>
    <t>Calentamiento; suspensión bilateral controlada; detener ante dolor</t>
  </si>
  <si>
    <t>E003</t>
  </si>
  <si>
    <t>Usada en la literatura específica</t>
  </si>
  <si>
    <t>Calidad dependiente del protocolo</t>
  </si>
  <si>
    <t>La revisión no permite recomendar umbrales universales</t>
  </si>
  <si>
    <t>T_SUBMAX</t>
  </si>
  <si>
    <t>Escalada submáxima estandarizada</t>
  </si>
  <si>
    <t>RPE y duración</t>
  </si>
  <si>
    <t>Problema o vía repetible a intensidad submáxima; mismo formato en reevaluación</t>
  </si>
  <si>
    <t>Apto para escalar</t>
  </si>
  <si>
    <t>Dolor o fatiga excesiva</t>
  </si>
  <si>
    <t>Validez específica dependiente de la tarea</t>
  </si>
  <si>
    <t>No uniformada</t>
  </si>
  <si>
    <t>Comparabilidad limitada entre muros</t>
  </si>
  <si>
    <t>RulesetVersion</t>
  </si>
  <si>
    <t>RuleID</t>
  </si>
  <si>
    <t>RuleType</t>
  </si>
  <si>
    <t>Description</t>
  </si>
  <si>
    <t>Classification</t>
  </si>
  <si>
    <t>EvidenceStatus</t>
  </si>
  <si>
    <t>SourceIDs</t>
  </si>
  <si>
    <t>Rationale</t>
  </si>
  <si>
    <t>Enabled</t>
  </si>
  <si>
    <t>0.1.0-demo</t>
  </si>
  <si>
    <t>D-SAFE-001</t>
  </si>
  <si>
    <t>SAFETY</t>
  </si>
  <si>
    <t>Bloquear hangboard con dolor de dedos</t>
  </si>
  <si>
    <t>SAFETY_PRECAUTION</t>
  </si>
  <si>
    <t>UNCERTAIN</t>
  </si>
  <si>
    <t>E005</t>
  </si>
  <si>
    <t>Precaución conservadora; el sistema no diagnostica</t>
  </si>
  <si>
    <t>D-SAFE-002</t>
  </si>
  <si>
    <t>Mostrar aviso por dolor limitante</t>
  </si>
  <si>
    <t>Derivar a valoración profesional ante limitación</t>
  </si>
  <si>
    <t>D-SEL-001</t>
  </si>
  <si>
    <t>PRESCRIPTION</t>
  </si>
  <si>
    <t>Incluir técnica siempre</t>
  </si>
  <si>
    <t>DESIGN_DECISION</t>
  </si>
  <si>
    <t>N/A</t>
  </si>
  <si>
    <t>Garantiza una ruta funcional de prueba</t>
  </si>
  <si>
    <t>D-SEL-002</t>
  </si>
  <si>
    <t>Incluir hangboard para objetivo y equipo</t>
  </si>
  <si>
    <t>EXPERT_HEURISTIC</t>
  </si>
  <si>
    <t>Regla artificial para probar condiciones compuestas</t>
  </si>
  <si>
    <t>D-PRE-001</t>
  </si>
  <si>
    <t>Prescribir series repeticiones descanso y RPE</t>
  </si>
  <si>
    <t>Valores de prueba del motor sin pretensión científica</t>
  </si>
  <si>
    <t>D-PREF-001</t>
  </si>
  <si>
    <t>PREFERENCE</t>
  </si>
  <si>
    <t>Permitir progresión con feedback favorable</t>
  </si>
  <si>
    <t>Prueba técnica de la acción</t>
  </si>
  <si>
    <t>1.0.0-candidate</t>
  </si>
  <si>
    <t>R-SAFE-001</t>
  </si>
  <si>
    <t>Excluir carga específica de dedos ante dolor</t>
  </si>
  <si>
    <t>La evidencia preventiva es limitada; se adopta precaución conservadora y no diagnóstica</t>
  </si>
  <si>
    <t>R-SAFE-002</t>
  </si>
  <si>
    <t>Bloquear progresión ante dolor limitante</t>
  </si>
  <si>
    <t>E005|E006</t>
  </si>
  <si>
    <t>Evita que rendimiento reactive una carga bloqueada y solicita valoración</t>
  </si>
  <si>
    <t>R-ELIG-001</t>
  </si>
  <si>
    <t>ELIGIBILITY</t>
  </si>
  <si>
    <t>Hangboard solo con experiencia equipo y ausencia de dolor</t>
  </si>
  <si>
    <t>CONSENSUS</t>
  </si>
  <si>
    <t>La intervención puede ser útil pero la literatura no fija un umbral universal de experiencia</t>
  </si>
  <si>
    <t>R-SEL-001</t>
  </si>
  <si>
    <t>Incluir técnica submáxima</t>
  </si>
  <si>
    <t>La especificidad apoya incluir escalada pero la dosis es configurable</t>
  </si>
  <si>
    <t>R-SEL-002</t>
  </si>
  <si>
    <t>Incluir tracción para fuerza general</t>
  </si>
  <si>
    <t>INDIRECT_EVIDENCE</t>
  </si>
  <si>
    <t>INDIRECT</t>
  </si>
  <si>
    <t>E002|E007</t>
  </si>
  <si>
    <t>La revisión apoya fuerza complementaria; el esquema concreto se extrapola</t>
  </si>
  <si>
    <t>R-SEL-003</t>
  </si>
  <si>
    <t>Incluir empuje antagonista</t>
  </si>
  <si>
    <t>Equilibrio general plausible sin evidencia directa de mejora en escalada</t>
  </si>
  <si>
    <t>R-SEL-004</t>
  </si>
  <si>
    <t>Incluir resistencia específica para deportiva</t>
  </si>
  <si>
    <t>Intervenciones específicas pueden ayudar pero la dosis óptima no está establecida</t>
  </si>
  <si>
    <t>R-PRE-001</t>
  </si>
  <si>
    <t>Prescripción de fuerza de dedos candidata</t>
  </si>
  <si>
    <t>E001|E002|E007</t>
  </si>
  <si>
    <t>Series y descanso son un rango conservador extrapolado; requieren validación</t>
  </si>
  <si>
    <t>R-PRE-002</t>
  </si>
  <si>
    <t>Evitar fallo sistemático</t>
  </si>
  <si>
    <t>E008</t>
  </si>
  <si>
    <t>El fallo no muestra superioridad consistente y puede elevar fatiga</t>
  </si>
  <si>
    <t>R-ADAPT-001</t>
  </si>
  <si>
    <t>Descarga por fatiga dolor o baja adherencia</t>
  </si>
  <si>
    <t>E006</t>
  </si>
  <si>
    <t>Monitorizar carga y bienestar; el umbral exacto es heurístico</t>
  </si>
  <si>
    <t>R-ADAPT-002</t>
  </si>
  <si>
    <t>Progresar con cumplimiento y esfuerzo tolerable</t>
  </si>
  <si>
    <t>Regla configurable sin umbral universal validado</t>
  </si>
  <si>
    <t>R-TEST-001</t>
  </si>
  <si>
    <t>Seleccionar prueba MIFS de 20 mm cuando elegible</t>
  </si>
  <si>
    <t>DIRECT_EVIDENCE</t>
  </si>
  <si>
    <t>DIRECT</t>
  </si>
  <si>
    <t>La revisión reciente respalda su fiabilidad para monitorización</t>
  </si>
  <si>
    <t>ConditionID</t>
  </si>
  <si>
    <t>GroupID</t>
  </si>
  <si>
    <t>Field</t>
  </si>
  <si>
    <t>Operator</t>
  </si>
  <si>
    <t>Value1</t>
  </si>
  <si>
    <t>Value2</t>
  </si>
  <si>
    <t>C001</t>
  </si>
  <si>
    <t>FingerPain</t>
  </si>
  <si>
    <t>GTE</t>
  </si>
  <si>
    <t>C002</t>
  </si>
  <si>
    <t>PainStatus</t>
  </si>
  <si>
    <t>IN</t>
  </si>
  <si>
    <t>limitación|lesión/rehabilitación</t>
  </si>
  <si>
    <t>C003</t>
  </si>
  <si>
    <t>EQ</t>
  </si>
  <si>
    <t>C004</t>
  </si>
  <si>
    <t>C005</t>
  </si>
  <si>
    <t>Hangboard|Muro|Hangboard|Barra</t>
  </si>
  <si>
    <t>C006</t>
  </si>
  <si>
    <t>C007</t>
  </si>
  <si>
    <t>Completion</t>
  </si>
  <si>
    <t>C008</t>
  </si>
  <si>
    <t>SessionRPE</t>
  </si>
  <si>
    <t>LTE</t>
  </si>
  <si>
    <t>Fuerza de dedos|Fuerza máxima</t>
  </si>
  <si>
    <t>Hangboard|Hangboard|Muro</t>
  </si>
  <si>
    <t>Fuerza máxima|Acondicionamiento general</t>
  </si>
  <si>
    <t>HasBands</t>
  </si>
  <si>
    <t>C009</t>
  </si>
  <si>
    <t>Deportiva|Mixto</t>
  </si>
  <si>
    <t>C010</t>
  </si>
  <si>
    <t>C011</t>
  </si>
  <si>
    <t>C012</t>
  </si>
  <si>
    <t>SessionPain</t>
  </si>
  <si>
    <t>C013</t>
  </si>
  <si>
    <t>LT</t>
  </si>
  <si>
    <t>C014</t>
  </si>
  <si>
    <t>C015</t>
  </si>
  <si>
    <t>C016</t>
  </si>
  <si>
    <t>C017</t>
  </si>
  <si>
    <t>C018</t>
  </si>
  <si>
    <t>ActionID</t>
  </si>
  <si>
    <t>ActionType</t>
  </si>
  <si>
    <t>Target</t>
  </si>
  <si>
    <t>Value</t>
  </si>
  <si>
    <t>A001</t>
  </si>
  <si>
    <t>EXCLUDE_EXERCISE</t>
  </si>
  <si>
    <t>A002</t>
  </si>
  <si>
    <t>BLOCK_PROGRESSION</t>
  </si>
  <si>
    <t>global</t>
  </si>
  <si>
    <t>A003</t>
  </si>
  <si>
    <t>SHOW_WARNING</t>
  </si>
  <si>
    <t>Existe dolor o limitación: reduzca o detenga la carga y consulte a un profesional sanitario cualificado.</t>
  </si>
  <si>
    <t>A004</t>
  </si>
  <si>
    <t>INCLUDE_EXERCISE</t>
  </si>
  <si>
    <t>A005</t>
  </si>
  <si>
    <t>A006</t>
  </si>
  <si>
    <t>SET_SETS</t>
  </si>
  <si>
    <t>PARAM:P_SETS</t>
  </si>
  <si>
    <t>A007</t>
  </si>
  <si>
    <t>SET_REPS</t>
  </si>
  <si>
    <t>PARAM:P_REPS</t>
  </si>
  <si>
    <t>A008</t>
  </si>
  <si>
    <t>SET_REST</t>
  </si>
  <si>
    <t>PARAM:P_REST</t>
  </si>
  <si>
    <t>A009</t>
  </si>
  <si>
    <t>SET_RPE</t>
  </si>
  <si>
    <t>PARAM:P_RPE</t>
  </si>
  <si>
    <t>A010</t>
  </si>
  <si>
    <t>ALLOW_PROGRESSION</t>
  </si>
  <si>
    <t>Dolor de dedos: no realizar carga específica; solicitar valoración profesional si persiste o limita.</t>
  </si>
  <si>
    <t>Limitación o lesión declarada: el sistema no diagnostica; use retorno supervisado.</t>
  </si>
  <si>
    <t>A011</t>
  </si>
  <si>
    <t>PARAM:P_MAX_STRENGTH_SETS</t>
  </si>
  <si>
    <t>A012</t>
  </si>
  <si>
    <t>PARAM:P_MAX_STRENGTH_REST</t>
  </si>
  <si>
    <t>A013</t>
  </si>
  <si>
    <t>PARAM:P_TARGET_RPE</t>
  </si>
  <si>
    <t>A014</t>
  </si>
  <si>
    <t>SET_RIR</t>
  </si>
  <si>
    <t>A015</t>
  </si>
  <si>
    <t>TRIGGER_DELOAD</t>
  </si>
  <si>
    <t>A016</t>
  </si>
  <si>
    <t>A017</t>
  </si>
  <si>
    <t>A018</t>
  </si>
  <si>
    <t>test</t>
  </si>
  <si>
    <t>T_MIFS20 elegible para seguimiento; use protocolo estandarizado y sin dolor.</t>
  </si>
  <si>
    <t>AcciÃ³n reconocida por el motor</t>
  </si>
  <si>
    <t>INCLUDE_CATEGORY</t>
  </si>
  <si>
    <t>EXCLUDE_CATEGORY</t>
  </si>
  <si>
    <t>SET_DURATION</t>
  </si>
  <si>
    <t>SET_INTENSITY</t>
  </si>
  <si>
    <t>SET_MIN</t>
  </si>
  <si>
    <t>SET_MAX</t>
  </si>
  <si>
    <t>MULTIPLY_VOLUME</t>
  </si>
  <si>
    <t>SET_FREQUENCY</t>
  </si>
  <si>
    <t>SET_LOAD</t>
  </si>
  <si>
    <t>SET_LOAD_PERCENT</t>
  </si>
  <si>
    <t>TRIGGER_REEVALUATION</t>
  </si>
  <si>
    <t>ParameterID</t>
  </si>
  <si>
    <t>EvidenceIDs</t>
  </si>
  <si>
    <t>P_SETS</t>
  </si>
  <si>
    <t>Demo</t>
  </si>
  <si>
    <t>series</t>
  </si>
  <si>
    <t>P_REPS</t>
  </si>
  <si>
    <t>Repeticiones</t>
  </si>
  <si>
    <t>reps</t>
  </si>
  <si>
    <t>P_REST</t>
  </si>
  <si>
    <t>Descanso</t>
  </si>
  <si>
    <t>seconds</t>
  </si>
  <si>
    <t>P_RPE</t>
  </si>
  <si>
    <t>RPE objetivo</t>
  </si>
  <si>
    <t>P_MAX_STRENGTH_SETS</t>
  </si>
  <si>
    <t>FingerStrength</t>
  </si>
  <si>
    <t>Series fuerza máxima</t>
  </si>
  <si>
    <t>P_MAX_STRENGTH_REST</t>
  </si>
  <si>
    <t>Descanso entre series</t>
  </si>
  <si>
    <t>P_TARGET_RPE</t>
  </si>
  <si>
    <t>RPE objetivo submáximo</t>
  </si>
  <si>
    <t>P_GENERAL_REPS</t>
  </si>
  <si>
    <t>Repeticiones generales</t>
  </si>
  <si>
    <t>P_REEVAL_WEEKS</t>
  </si>
  <si>
    <t>Evaluation</t>
  </si>
  <si>
    <t>Intervalo sugerido</t>
  </si>
  <si>
    <t>weeks</t>
  </si>
  <si>
    <t>Purpose</t>
  </si>
  <si>
    <t>Version</t>
  </si>
  <si>
    <t>Valid</t>
  </si>
  <si>
    <t>Default</t>
  </si>
  <si>
    <t>Immutable</t>
  </si>
  <si>
    <t>DEMO</t>
  </si>
  <si>
    <t>TESTING</t>
  </si>
  <si>
    <t>Pruebas tÃ©cnicas, no prescripciÃ³n validada</t>
  </si>
  <si>
    <t>Candidate</t>
  </si>
  <si>
    <t>RESEARCH</t>
  </si>
  <si>
    <t>Pendiente de revisiÃ³n humana y activaciÃ³n</t>
  </si>
  <si>
    <t>SourceType</t>
  </si>
  <si>
    <t>Authors</t>
  </si>
  <si>
    <t>Title</t>
  </si>
  <si>
    <t>Year</t>
  </si>
  <si>
    <t>Journal</t>
  </si>
  <si>
    <t>Volume</t>
  </si>
  <si>
    <t>Issue</t>
  </si>
  <si>
    <t>Pages</t>
  </si>
  <si>
    <t>DOI</t>
  </si>
  <si>
    <t>PMID</t>
  </si>
  <si>
    <t>URL</t>
  </si>
  <si>
    <t>AccessedDate</t>
  </si>
  <si>
    <t>EvidenceLevel</t>
  </si>
  <si>
    <t>ClimbingSpecific</t>
  </si>
  <si>
    <t>Population</t>
  </si>
  <si>
    <t>MainFinding</t>
  </si>
  <si>
    <t>Systematic review and meta-analysis</t>
  </si>
  <si>
    <t>Stien N; Riiser A; Shaw MP; Saeterbakken AH; Andersen V</t>
  </si>
  <si>
    <t>Effects of climbing- and resistance-training on climbing-specific performance</t>
  </si>
  <si>
    <t>Biology of Sport</t>
  </si>
  <si>
    <t>179-191</t>
  </si>
  <si>
    <t>10.5114/biolsport.2023.113295</t>
  </si>
  <si>
    <t>https://pubmed.ncbi.nlm.nih.gov/36636194/</t>
  </si>
  <si>
    <t>Systematic review/meta-analysis</t>
  </si>
  <si>
    <t>Active climbers</t>
  </si>
  <si>
    <t>Climbing-specific resistance training improved pooled climbing-related test outcomes; evidence base was small</t>
  </si>
  <si>
    <t>Only 11 studies and 5 in meta-analysis; heterogeneous interventions</t>
  </si>
  <si>
    <t>Do not infer a unique optimal protocol</t>
  </si>
  <si>
    <t>Systematic review</t>
  </si>
  <si>
    <t>Langer K; Simon C; Wiemeyer J</t>
  </si>
  <si>
    <t>Strength Training in Climbing: A Systematic Review</t>
  </si>
  <si>
    <t>Journal of Strength and Conditioning Research</t>
  </si>
  <si>
    <t>751-767</t>
  </si>
  <si>
    <t>10.1519/JSC.0000000000004286</t>
  </si>
  <si>
    <t>https://pubmed.ncbi.nlm.nih.gov/36820707/</t>
  </si>
  <si>
    <t>Climbers in controlled longitudinal studies</t>
  </si>
  <si>
    <t>Positive effects were reported across strength-related outcomes with heterogeneous methods</t>
  </si>
  <si>
    <t>Only 12 studies and trends do not establish exact dose</t>
  </si>
  <si>
    <t>Supports category selection more than exact dose</t>
  </si>
  <si>
    <t>Physical performance testing in climbing—A systematic review</t>
  </si>
  <si>
    <t>Frontiers in Sports and Active Living</t>
  </si>
  <si>
    <t>10.3389/fspor.2023.1130812</t>
  </si>
  <si>
    <t>https://pubmed.ncbi.nlm.nih.gov/37229362/</t>
  </si>
  <si>
    <t>Climbers and boulderers</t>
  </si>
  <si>
    <t>Identified 63 tests and substantial lack of standardized protocols</t>
  </si>
  <si>
    <t>Few studies report quality criteria</t>
  </si>
  <si>
    <t>Uncertainty must remain explicit</t>
  </si>
  <si>
    <t>Pérez-Cordero J; Jerez-Mayorga D; Rodríguez-Perea Á; Soto García D</t>
  </si>
  <si>
    <t>Reliability of finger strength assessment methods in climbing</t>
  </si>
  <si>
    <t>10.3389/fspor.2025.1650198</t>
  </si>
  <si>
    <t>https://pubmed.ncbi.nlm.nih.gov/41103490/</t>
  </si>
  <si>
    <t>747 climbers across 15 studies</t>
  </si>
  <si>
    <t>MIFS on fixed edges around 20-23 mm showed good-to-excellent reliability</t>
  </si>
  <si>
    <t>Protocols and populations remain heterogeneous</t>
  </si>
  <si>
    <t>Supports monitoring test selection not training dose</t>
  </si>
  <si>
    <t>Quarmby A; Zhang M; Geisler M; Javorsky T; Mugele H; Cassel M; Lawley J</t>
  </si>
  <si>
    <t>Risk factors and injury prevention strategies for overuse injuries in adult climbers</t>
  </si>
  <si>
    <t>10.3389/fspor.2023.1269870</t>
  </si>
  <si>
    <t>https://pubmed.ncbi.nlm.nih.gov/38162697/</t>
  </si>
  <si>
    <t>Adult climbers</t>
  </si>
  <si>
    <t>Previous injury and some climbing exposures were associated with overuse injury; several factors conflicted</t>
  </si>
  <si>
    <t>Mostly observational evidence; prevention evidence limited</t>
  </si>
  <si>
    <t>Supports conservative screening not diagnosis</t>
  </si>
  <si>
    <t>Consensus statement</t>
  </si>
  <si>
    <t>Soligard T et al.</t>
  </si>
  <si>
    <t>How much is too much? Part 1: IOC consensus statement on load in sport and risk of injury</t>
  </si>
  <si>
    <t>British Journal of Sports Medicine</t>
  </si>
  <si>
    <t>1030-1041</t>
  </si>
  <si>
    <t>10.1136/bjsports-2016-096581</t>
  </si>
  <si>
    <t>https://pubmed.ncbi.nlm.nih.gov/27535989/</t>
  </si>
  <si>
    <t>Consensus</t>
  </si>
  <si>
    <t>Athletes across sports</t>
  </si>
  <si>
    <t>Poor load management is a risk factor and monitoring load/well-being is recommended</t>
  </si>
  <si>
    <t>Indirect evidence for climbing and no universal safe threshold</t>
  </si>
  <si>
    <t>EVIDENCIA INDIRECTA</t>
  </si>
  <si>
    <t>Position stand</t>
  </si>
  <si>
    <t>American College of Sports Medicine</t>
  </si>
  <si>
    <t>Progression models in resistance training for healthy adults</t>
  </si>
  <si>
    <t>Medicine and Science in Sports and Exercise</t>
  </si>
  <si>
    <t>687-708</t>
  </si>
  <si>
    <t>10.1249/MSS.0b013e3181915670</t>
  </si>
  <si>
    <t>https://pubmed.ncbi.nlm.nih.gov/19204579/</t>
  </si>
  <si>
    <t>Position statement</t>
  </si>
  <si>
    <t>Healthy adults</t>
  </si>
  <si>
    <t>Provides contextual ranges for resistance training frequency loading and rest</t>
  </si>
  <si>
    <t>Old and indirect for climbing; not finger-specific</t>
  </si>
  <si>
    <t>Vieira AF et al.</t>
  </si>
  <si>
    <t>Effects of Resistance Training Performed to Failure or Not to Failure on Muscle Strength Hypertrophy and Power Output</t>
  </si>
  <si>
    <t>1165-1175</t>
  </si>
  <si>
    <t>10.1519/JSC.0000000000003936</t>
  </si>
  <si>
    <t>https://pubmed.ncbi.nlm.nih.gov/33555822/</t>
  </si>
  <si>
    <t>Adults in resistance training</t>
  </si>
  <si>
    <t>Failure was not consistently superior for strength hypertrophy or power outcomes</t>
  </si>
  <si>
    <t>Indirect and protocols heterogeneous</t>
  </si>
  <si>
    <t>RelationType</t>
  </si>
  <si>
    <t>EvidenceStrength</t>
  </si>
  <si>
    <t>LOW</t>
  </si>
  <si>
    <t>Precaución conservadora; la revisión no valida un umbral de dolor específico</t>
  </si>
  <si>
    <t>Historia y síntomas justifican cribado pero no diagnóstico</t>
  </si>
  <si>
    <t>INDIRECT_SUPPORT</t>
  </si>
  <si>
    <t>MODERATE</t>
  </si>
  <si>
    <t>Consenso general de gestión de carga</t>
  </si>
  <si>
    <t>BACKGROUND</t>
  </si>
  <si>
    <t>Apoya entrenamiento específico; no el umbral de dos años</t>
  </si>
  <si>
    <t>Apoya fuerza semiespecífica; elegibilidad exacta incierta</t>
  </si>
  <si>
    <t>DIRECT_SUPPORT</t>
  </si>
  <si>
    <t>Apoya entrenamiento específico como categoría</t>
  </si>
  <si>
    <t>Apoya fuerza complementaria</t>
  </si>
  <si>
    <t>Dosis general no específica</t>
  </si>
  <si>
    <t>Extrapolación; no demuestra beneficio de antagonistas en escalada</t>
  </si>
  <si>
    <t>Apoya trabajo específico; no dosis única</t>
  </si>
  <si>
    <t>La heterogeneidad impide dosis exacta</t>
  </si>
  <si>
    <t>Rangos generales de fuerza</t>
  </si>
  <si>
    <t>No existe superioridad consistente del fallo</t>
  </si>
  <si>
    <t>Monitorización de carga y bienestar; umbrales heurísticos</t>
  </si>
  <si>
    <t>No respalda los umbrales concretos</t>
  </si>
  <si>
    <t>HIGH</t>
  </si>
  <si>
    <t>Fiabilidad de MIFS en borde fijo de aproximadamente 20–23 mm</t>
  </si>
  <si>
    <t>ScaleID</t>
  </si>
  <si>
    <t>Discipline</t>
  </si>
  <si>
    <t>Code</t>
  </si>
  <si>
    <t>Order</t>
  </si>
  <si>
    <t>FONT</t>
  </si>
  <si>
    <t>6a</t>
  </si>
  <si>
    <t>7a</t>
  </si>
  <si>
    <t>V</t>
  </si>
  <si>
    <t>V3</t>
  </si>
  <si>
    <t>V6</t>
  </si>
  <si>
    <t>TestHistoryID</t>
  </si>
  <si>
    <t>Result</t>
  </si>
  <si>
    <t>Observations</t>
  </si>
  <si>
    <t>DecisionID</t>
  </si>
  <si>
    <t>RulePackageVersion</t>
  </si>
  <si>
    <t>InputValues</t>
  </si>
  <si>
    <t>Action</t>
  </si>
  <si>
    <t>PreviousValue</t>
  </si>
  <si>
    <t>NewValue</t>
  </si>
  <si>
    <t>CycleID</t>
  </si>
  <si>
    <t>CYCLE-001</t>
  </si>
  <si>
    <t>Debug</t>
  </si>
  <si>
    <t>Resultado motor</t>
  </si>
  <si>
    <t>Exclusiones</t>
  </si>
  <si>
    <t>Advertencias</t>
  </si>
  <si>
    <t>ValidaciÃ³n 0.1.0-demo</t>
  </si>
  <si>
    <t>OK</t>
  </si>
  <si>
    <t>DEC-20260906042849-9910</t>
  </si>
  <si>
    <t>PLAN-20260906042849-6510</t>
  </si>
  <si>
    <t>UserID=USR-001;PrimaryObjective=Fuerza de dedos;ExperienceYears=3;Equipment=Hangboard;HasBands=Verdadero;FingerPain=0;PainStatus=ninguna;Modality=Mixto;DaysAvailable=3;SessionMinutes=60;Completion=100;SessionRPE=6;SessionPain=0;Fatigue=3;PlanID=PLAN-20260906042849-6510</t>
  </si>
  <si>
    <t>INCLUDE_EXERCISE:EX_CLIMB_EASY</t>
  </si>
  <si>
    <t>DEC-20260906042849-0066</t>
  </si>
  <si>
    <t>INCLUDE_EXERCISE:EX_HANG_MAX</t>
  </si>
  <si>
    <t>DEC-20260906042849-8870</t>
  </si>
  <si>
    <t>SET_SETS:global</t>
  </si>
  <si>
    <t>DEC-20260906042849-9046</t>
  </si>
  <si>
    <t>SET_REPS:global</t>
  </si>
  <si>
    <t>DEC-20260906042849-7271</t>
  </si>
  <si>
    <t>SET_REST:global</t>
  </si>
  <si>
    <t>DEC-20260906042849-5416</t>
  </si>
  <si>
    <t>SET_RPE:global</t>
  </si>
  <si>
    <t>DEC-20260906042849-6782</t>
  </si>
  <si>
    <t>ALLOW_PROGRESSION:global</t>
  </si>
  <si>
    <t>GENERATED</t>
  </si>
  <si>
    <t>SE-20260906042849-0192</t>
  </si>
  <si>
    <t>PLAN-20260906042849-6510-S1</t>
  </si>
  <si>
    <t>ALLOW</t>
  </si>
  <si>
    <t>PLAN-20260906042849-6510-S2</t>
  </si>
  <si>
    <t>PLAN-20260906042849-6510-S3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</si>
</sst>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1"/>
      <color theme="1"/>
      <name val="Aptos"/>
      <family val="2"/>
    </font>
    <font>
      <b/>
      <sz val="22"/>
      <color rgb="FFFFFFFF"/>
      <name val="Aptos"/>
      <family val="2"/>
    </font>
    <font>
      <sz val="11"/>
      <color rgb="FF666666"/>
      <name val="Aptos"/>
      <family val="2"/>
    </font>
    <font>
      <b/>
      <sz val="16"/>
      <color theme="1"/>
      <name val="Aptos"/>
      <family val="2"/>
    </font>
    <font>
      <b/>
      <sz val="11"/>
      <color theme="1"/>
      <name val="Aptos"/>
      <family val="2"/>
    </font>
  </fonts>
  <fills count="4">
    <fill>
      <patternFill patternType="none"/>
    </fill>
    <fill>
      <patternFill patternType="gray125"/>
    </fill>
    <fill>
      <patternFill patternType="solid">
        <fgColor rgb="FF1F3356"/>
        <bgColor indexed="64"/>
      </patternFill>
    </fill>
    <fill>
      <patternFill patternType="solid">
        <fgColor rgb="FFFFFFCC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1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" fillId="3" borderId="1" xfId="0" applyFont="1" applyFill="1" applyBorder="1" applyAlignment="1">
      <alignment vertical="center"/>
    </xf>
    <xf numFmtId="16" fontId="1" fillId="0" borderId="0" xfId="0" applyNumberFormat="1" applyFont="1" applyAlignment="1">
      <alignment vertical="center"/>
    </xf>
    <xf numFmtId="14" fontId="1" fillId="0" borderId="0" xfId="0" applyNumberFormat="1" applyFont="1" applyAlignment="1">
      <alignment vertical="center"/>
    </xf>
    <xf numFmtId="0" fontId="1" fillId="3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1" fillId="2" borderId="0" xfId="0" applyFont="1" applyFill="1" applyAlignment="1">
      <alignment vertical="center"/>
    </xf>
    <xf numFmtId="0" fontId="3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22" fontId="1" fillId="0" borderId="0" xfId="0" applyNumberFormat="1" applyFont="1" applyAlignment="1">
      <alignment vertical="center"/>
    </xf>
  </cellXfs>
  <cellStyles count="1">
    <cellStyle name="Normal" xfId="0" builtinId="0"/>
  </cellStyles>
  <dxfs count="2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numFmt numFmtId="21" formatCode="dd\-mmm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"/>
        <family val="2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254000</xdr:colOff>
      <xdr:row>11</xdr:row>
      <xdr:rowOff>73660</xdr:rowOff>
    </xdr:from>
    <xdr:to>
      <xdr:col>1</xdr:col>
      <xdr:colOff>1252220</xdr:colOff>
      <xdr:row>13</xdr:row>
      <xdr:rowOff>114300</xdr:rowOff>
    </xdr:to>
    <xdr:sp macro="IrPerfi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A141F62-E147-7385-B535-001B72122811}"/>
            </a:ext>
          </a:extLst>
        </xdr:cNvPr>
        <xdr:cNvSpPr/>
      </xdr:nvSpPr>
      <xdr:spPr>
        <a:xfrm>
          <a:off x="254000" y="2413000"/>
          <a:ext cx="2286000" cy="406400"/>
        </a:xfrm>
        <a:prstGeom prst="roundRect">
          <a:avLst/>
        </a:prstGeom>
        <a:solidFill>
          <a:srgbClr val="3587D8"/>
        </a:solidFill>
        <a:ln>
          <a:solidFill>
            <a:srgbClr val="1F335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 b="1">
              <a:solidFill>
                <a:srgbClr val="FFFFFF"/>
              </a:solidFill>
            </a:rPr>
            <a:t>NUEVO USUARIO / PERFIL</a:t>
          </a:r>
        </a:p>
      </xdr:txBody>
    </xdr:sp>
    <xdr:clientData/>
  </xdr:twoCellAnchor>
  <xdr:twoCellAnchor>
    <xdr:from>
      <xdr:col>2</xdr:col>
      <xdr:colOff>218440</xdr:colOff>
      <xdr:row>11</xdr:row>
      <xdr:rowOff>73660</xdr:rowOff>
    </xdr:from>
    <xdr:to>
      <xdr:col>3</xdr:col>
      <xdr:colOff>1216660</xdr:colOff>
      <xdr:row>13</xdr:row>
      <xdr:rowOff>114300</xdr:rowOff>
    </xdr:to>
    <xdr:sp macro="GuardarPerfi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1D37E521-CBED-5813-6ABE-143481214571}"/>
            </a:ext>
          </a:extLst>
        </xdr:cNvPr>
        <xdr:cNvSpPr/>
      </xdr:nvSpPr>
      <xdr:spPr>
        <a:xfrm>
          <a:off x="2794000" y="2413000"/>
          <a:ext cx="2286000" cy="406400"/>
        </a:xfrm>
        <a:prstGeom prst="roundRect">
          <a:avLst/>
        </a:prstGeom>
        <a:solidFill>
          <a:srgbClr val="3587D8"/>
        </a:solidFill>
        <a:ln>
          <a:solidFill>
            <a:srgbClr val="1F335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 b="1">
              <a:solidFill>
                <a:srgbClr val="FFFFFF"/>
              </a:solidFill>
            </a:rPr>
            <a:t>GUARDAR PERFIL</a:t>
          </a:r>
        </a:p>
      </xdr:txBody>
    </xdr:sp>
    <xdr:clientData/>
  </xdr:twoCellAnchor>
  <xdr:twoCellAnchor>
    <xdr:from>
      <xdr:col>4</xdr:col>
      <xdr:colOff>182880</xdr:colOff>
      <xdr:row>11</xdr:row>
      <xdr:rowOff>73660</xdr:rowOff>
    </xdr:from>
    <xdr:to>
      <xdr:col>5</xdr:col>
      <xdr:colOff>1181100</xdr:colOff>
      <xdr:row>13</xdr:row>
      <xdr:rowOff>114300</xdr:rowOff>
    </xdr:to>
    <xdr:sp macro="IrEvaluacione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D24815CF-C595-4C22-B898-51DDEAE6F91A}"/>
            </a:ext>
          </a:extLst>
        </xdr:cNvPr>
        <xdr:cNvSpPr/>
      </xdr:nvSpPr>
      <xdr:spPr>
        <a:xfrm>
          <a:off x="5334000" y="2413000"/>
          <a:ext cx="2286000" cy="406400"/>
        </a:xfrm>
        <a:prstGeom prst="roundRect">
          <a:avLst/>
        </a:prstGeom>
        <a:solidFill>
          <a:srgbClr val="3587D8"/>
        </a:solidFill>
        <a:ln>
          <a:solidFill>
            <a:srgbClr val="1F335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 b="1">
              <a:solidFill>
                <a:srgbClr val="FFFFFF"/>
              </a:solidFill>
            </a:rPr>
            <a:t>EVALUACIONES</a:t>
          </a:r>
        </a:p>
      </xdr:txBody>
    </xdr:sp>
    <xdr:clientData/>
  </xdr:twoCellAnchor>
  <xdr:twoCellAnchor>
    <xdr:from>
      <xdr:col>0</xdr:col>
      <xdr:colOff>254000</xdr:colOff>
      <xdr:row>14</xdr:row>
      <xdr:rowOff>96520</xdr:rowOff>
    </xdr:from>
    <xdr:to>
      <xdr:col>1</xdr:col>
      <xdr:colOff>1252220</xdr:colOff>
      <xdr:row>16</xdr:row>
      <xdr:rowOff>137160</xdr:rowOff>
    </xdr:to>
    <xdr:sp macro="GenerarPlan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7B12EDFE-2410-4CF9-A5F8-0B02E9C44E6D}"/>
            </a:ext>
          </a:extLst>
        </xdr:cNvPr>
        <xdr:cNvSpPr/>
      </xdr:nvSpPr>
      <xdr:spPr>
        <a:xfrm>
          <a:off x="254000" y="2984500"/>
          <a:ext cx="2286000" cy="406400"/>
        </a:xfrm>
        <a:prstGeom prst="roundRect">
          <a:avLst/>
        </a:prstGeom>
        <a:solidFill>
          <a:srgbClr val="3587D8"/>
        </a:solidFill>
        <a:ln>
          <a:solidFill>
            <a:srgbClr val="1F335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 b="1">
              <a:solidFill>
                <a:srgbClr val="FFFFFF"/>
              </a:solidFill>
            </a:rPr>
            <a:t>GENERAR PLAN</a:t>
          </a:r>
        </a:p>
      </xdr:txBody>
    </xdr:sp>
    <xdr:clientData/>
  </xdr:twoCellAnchor>
  <xdr:twoCellAnchor>
    <xdr:from>
      <xdr:col>2</xdr:col>
      <xdr:colOff>218440</xdr:colOff>
      <xdr:row>14</xdr:row>
      <xdr:rowOff>96520</xdr:rowOff>
    </xdr:from>
    <xdr:to>
      <xdr:col>3</xdr:col>
      <xdr:colOff>1216660</xdr:colOff>
      <xdr:row>16</xdr:row>
      <xdr:rowOff>137160</xdr:rowOff>
    </xdr:to>
    <xdr:sp macro="IrSesionActual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EA97951-1B63-DBEA-77EF-BBE41BDE5354}"/>
            </a:ext>
          </a:extLst>
        </xdr:cNvPr>
        <xdr:cNvSpPr/>
      </xdr:nvSpPr>
      <xdr:spPr>
        <a:xfrm>
          <a:off x="2794000" y="2984500"/>
          <a:ext cx="2286000" cy="406400"/>
        </a:xfrm>
        <a:prstGeom prst="roundRect">
          <a:avLst/>
        </a:prstGeom>
        <a:solidFill>
          <a:srgbClr val="3587D8"/>
        </a:solidFill>
        <a:ln>
          <a:solidFill>
            <a:srgbClr val="1F335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 b="1">
              <a:solidFill>
                <a:srgbClr val="FFFFFF"/>
              </a:solidFill>
            </a:rPr>
            <a:t>ENTRENAMIENTO DE HOY</a:t>
          </a:r>
        </a:p>
      </xdr:txBody>
    </xdr:sp>
    <xdr:clientData/>
  </xdr:twoCellAnchor>
  <xdr:twoCellAnchor>
    <xdr:from>
      <xdr:col>4</xdr:col>
      <xdr:colOff>182880</xdr:colOff>
      <xdr:row>14</xdr:row>
      <xdr:rowOff>96520</xdr:rowOff>
    </xdr:from>
    <xdr:to>
      <xdr:col>5</xdr:col>
      <xdr:colOff>1181100</xdr:colOff>
      <xdr:row>16</xdr:row>
      <xdr:rowOff>137160</xdr:rowOff>
    </xdr:to>
    <xdr:sp macro="IrRegistro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646B1ADC-CFC1-356B-A659-E87C55AFDE4C}"/>
            </a:ext>
          </a:extLst>
        </xdr:cNvPr>
        <xdr:cNvSpPr/>
      </xdr:nvSpPr>
      <xdr:spPr>
        <a:xfrm>
          <a:off x="5334000" y="2984500"/>
          <a:ext cx="2286000" cy="406400"/>
        </a:xfrm>
        <a:prstGeom prst="roundRect">
          <a:avLst/>
        </a:prstGeom>
        <a:solidFill>
          <a:srgbClr val="3587D8"/>
        </a:solidFill>
        <a:ln>
          <a:solidFill>
            <a:srgbClr val="1F335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 b="1">
              <a:solidFill>
                <a:srgbClr val="FFFFFF"/>
              </a:solidFill>
            </a:rPr>
            <a:t>REGISTRAR ENTRENAMIENTO</a:t>
          </a:r>
        </a:p>
      </xdr:txBody>
    </xdr:sp>
    <xdr:clientData/>
  </xdr:twoCellAnchor>
  <xdr:twoCellAnchor>
    <xdr:from>
      <xdr:col>0</xdr:col>
      <xdr:colOff>254000</xdr:colOff>
      <xdr:row>17</xdr:row>
      <xdr:rowOff>119380</xdr:rowOff>
    </xdr:from>
    <xdr:to>
      <xdr:col>1</xdr:col>
      <xdr:colOff>1252220</xdr:colOff>
      <xdr:row>19</xdr:row>
      <xdr:rowOff>160020</xdr:rowOff>
    </xdr:to>
    <xdr:sp macro="IrProgreso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B5A2BF99-084E-EB95-091F-F91D6E56EA4D}"/>
            </a:ext>
          </a:extLst>
        </xdr:cNvPr>
        <xdr:cNvSpPr/>
      </xdr:nvSpPr>
      <xdr:spPr>
        <a:xfrm>
          <a:off x="254000" y="3556000"/>
          <a:ext cx="2286000" cy="406400"/>
        </a:xfrm>
        <a:prstGeom prst="roundRect">
          <a:avLst/>
        </a:prstGeom>
        <a:solidFill>
          <a:srgbClr val="3587D8"/>
        </a:solidFill>
        <a:ln>
          <a:solidFill>
            <a:srgbClr val="1F335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 b="1">
              <a:solidFill>
                <a:srgbClr val="FFFFFF"/>
              </a:solidFill>
            </a:rPr>
            <a:t>PROGRESO</a:t>
          </a:r>
        </a:p>
      </xdr:txBody>
    </xdr:sp>
    <xdr:clientData/>
  </xdr:twoCellAnchor>
  <xdr:twoCellAnchor>
    <xdr:from>
      <xdr:col>2</xdr:col>
      <xdr:colOff>218440</xdr:colOff>
      <xdr:row>17</xdr:row>
      <xdr:rowOff>119380</xdr:rowOff>
    </xdr:from>
    <xdr:to>
      <xdr:col>3</xdr:col>
      <xdr:colOff>1216660</xdr:colOff>
      <xdr:row>19</xdr:row>
      <xdr:rowOff>160020</xdr:rowOff>
    </xdr:to>
    <xdr:sp macro="MostrarTrazabilidad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12555D2F-427D-707E-0EC3-4949412F1F6B}"/>
            </a:ext>
          </a:extLst>
        </xdr:cNvPr>
        <xdr:cNvSpPr/>
      </xdr:nvSpPr>
      <xdr:spPr>
        <a:xfrm>
          <a:off x="2794000" y="3556000"/>
          <a:ext cx="2286000" cy="406400"/>
        </a:xfrm>
        <a:prstGeom prst="roundRect">
          <a:avLst/>
        </a:prstGeom>
        <a:solidFill>
          <a:srgbClr val="3587D8"/>
        </a:solidFill>
        <a:ln>
          <a:solidFill>
            <a:srgbClr val="1F335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 b="1">
              <a:solidFill>
                <a:srgbClr val="FFFFFF"/>
              </a:solidFill>
            </a:rPr>
            <a:t>TRAZABILIDAD</a:t>
          </a:r>
        </a:p>
      </xdr:txBody>
    </xdr:sp>
    <xdr:clientData/>
  </xdr:twoCellAnchor>
  <xdr:twoCellAnchor>
    <xdr:from>
      <xdr:col>4</xdr:col>
      <xdr:colOff>182880</xdr:colOff>
      <xdr:row>17</xdr:row>
      <xdr:rowOff>119380</xdr:rowOff>
    </xdr:from>
    <xdr:to>
      <xdr:col>5</xdr:col>
      <xdr:colOff>1181100</xdr:colOff>
      <xdr:row>19</xdr:row>
      <xdr:rowOff>160020</xdr:rowOff>
    </xdr:to>
    <xdr:sp macro="ValidarRuleset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B4887F12-6A38-8BA7-D9C4-73E5C8720451}"/>
            </a:ext>
          </a:extLst>
        </xdr:cNvPr>
        <xdr:cNvSpPr/>
      </xdr:nvSpPr>
      <xdr:spPr>
        <a:xfrm>
          <a:off x="5334000" y="3556000"/>
          <a:ext cx="2286000" cy="406400"/>
        </a:xfrm>
        <a:prstGeom prst="roundRect">
          <a:avLst/>
        </a:prstGeom>
        <a:solidFill>
          <a:srgbClr val="3587D8"/>
        </a:solidFill>
        <a:ln>
          <a:solidFill>
            <a:srgbClr val="1F335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 b="1">
              <a:solidFill>
                <a:srgbClr val="FFFFFF"/>
              </a:solidFill>
            </a:rPr>
            <a:t>VALIDAR RULESET</a:t>
          </a:r>
        </a:p>
      </xdr:txBody>
    </xdr:sp>
    <xdr:clientData/>
  </xdr:twoCellAnchor>
  <xdr:twoCellAnchor>
    <xdr:from>
      <xdr:col>0</xdr:col>
      <xdr:colOff>254000</xdr:colOff>
      <xdr:row>20</xdr:row>
      <xdr:rowOff>142240</xdr:rowOff>
    </xdr:from>
    <xdr:to>
      <xdr:col>1</xdr:col>
      <xdr:colOff>1252220</xdr:colOff>
      <xdr:row>23</xdr:row>
      <xdr:rowOff>0</xdr:rowOff>
    </xdr:to>
    <xdr:sp macro="ExportarPlanPDF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B07F36FA-A554-1AEF-5EB4-57A7DE450CE6}"/>
            </a:ext>
          </a:extLst>
        </xdr:cNvPr>
        <xdr:cNvSpPr/>
      </xdr:nvSpPr>
      <xdr:spPr>
        <a:xfrm>
          <a:off x="254000" y="4127500"/>
          <a:ext cx="2286000" cy="406400"/>
        </a:xfrm>
        <a:prstGeom prst="roundRect">
          <a:avLst/>
        </a:prstGeom>
        <a:solidFill>
          <a:srgbClr val="3587D8"/>
        </a:solidFill>
        <a:ln>
          <a:solidFill>
            <a:srgbClr val="1F335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 b="1">
              <a:solidFill>
                <a:srgbClr val="FFFFFF"/>
              </a:solidFill>
            </a:rPr>
            <a:t>EXPORTAR PLAN PDF</a:t>
          </a:r>
        </a:p>
      </xdr:txBody>
    </xdr:sp>
    <xdr:clientData/>
  </xdr:twoCellAnchor>
  <xdr:twoCellAnchor>
    <xdr:from>
      <xdr:col>2</xdr:col>
      <xdr:colOff>218440</xdr:colOff>
      <xdr:row>20</xdr:row>
      <xdr:rowOff>142240</xdr:rowOff>
    </xdr:from>
    <xdr:to>
      <xdr:col>3</xdr:col>
      <xdr:colOff>1216660</xdr:colOff>
      <xdr:row>23</xdr:row>
      <xdr:rowOff>0</xdr:rowOff>
    </xdr:to>
    <xdr:sp macro="CrearNuevoCiclo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92C2B484-9A7A-4572-14F5-C8924512962F}"/>
            </a:ext>
          </a:extLst>
        </xdr:cNvPr>
        <xdr:cNvSpPr/>
      </xdr:nvSpPr>
      <xdr:spPr>
        <a:xfrm>
          <a:off x="2794000" y="4127500"/>
          <a:ext cx="2286000" cy="406400"/>
        </a:xfrm>
        <a:prstGeom prst="roundRect">
          <a:avLst/>
        </a:prstGeom>
        <a:solidFill>
          <a:srgbClr val="3587D8"/>
        </a:solidFill>
        <a:ln>
          <a:solidFill>
            <a:srgbClr val="1F335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 b="1">
              <a:solidFill>
                <a:srgbClr val="FFFFFF"/>
              </a:solidFill>
            </a:rPr>
            <a:t>NUEVO CICLO</a:t>
          </a:r>
        </a:p>
      </xdr:txBody>
    </xdr:sp>
    <xdr:clientData/>
  </xdr:twoCellAnchor>
  <xdr:twoCellAnchor>
    <xdr:from>
      <xdr:col>4</xdr:col>
      <xdr:colOff>182880</xdr:colOff>
      <xdr:row>20</xdr:row>
      <xdr:rowOff>142240</xdr:rowOff>
    </xdr:from>
    <xdr:to>
      <xdr:col>5</xdr:col>
      <xdr:colOff>1181100</xdr:colOff>
      <xdr:row>23</xdr:row>
      <xdr:rowOff>0</xdr:rowOff>
    </xdr:to>
    <xdr:sp macro="ProbarMotor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B292C812-2D7A-7170-8F6C-C0B2ABB98AE5}"/>
            </a:ext>
          </a:extLst>
        </xdr:cNvPr>
        <xdr:cNvSpPr/>
      </xdr:nvSpPr>
      <xdr:spPr>
        <a:xfrm>
          <a:off x="5334000" y="4127500"/>
          <a:ext cx="2286000" cy="406400"/>
        </a:xfrm>
        <a:prstGeom prst="roundRect">
          <a:avLst/>
        </a:prstGeom>
        <a:solidFill>
          <a:srgbClr val="3587D8"/>
        </a:solidFill>
        <a:ln>
          <a:solidFill>
            <a:srgbClr val="1F335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 b="1">
              <a:solidFill>
                <a:srgbClr val="FFFFFF"/>
              </a:solidFill>
            </a:rPr>
            <a:t>DEBUG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1234440</xdr:colOff>
      <xdr:row>3</xdr:row>
      <xdr:rowOff>160020</xdr:rowOff>
    </xdr:from>
    <xdr:to>
      <xdr:col>4</xdr:col>
      <xdr:colOff>944880</xdr:colOff>
      <xdr:row>6</xdr:row>
      <xdr:rowOff>17780</xdr:rowOff>
    </xdr:to>
    <xdr:sp macro="GuardarResultadoTest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90DC66F-807F-4EEC-9837-6D6EB79419E0}"/>
            </a:ext>
          </a:extLst>
        </xdr:cNvPr>
        <xdr:cNvSpPr/>
      </xdr:nvSpPr>
      <xdr:spPr>
        <a:xfrm>
          <a:off x="3810000" y="952500"/>
          <a:ext cx="2286000" cy="406400"/>
        </a:xfrm>
        <a:prstGeom prst="roundRect">
          <a:avLst/>
        </a:prstGeom>
        <a:solidFill>
          <a:srgbClr val="3587D8"/>
        </a:solidFill>
        <a:ln>
          <a:solidFill>
            <a:srgbClr val="1F335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 b="1">
              <a:solidFill>
                <a:srgbClr val="FFFFFF"/>
              </a:solidFill>
            </a:rPr>
            <a:t>GUARDAR RESULTADO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1234440</xdr:colOff>
      <xdr:row>3</xdr:row>
      <xdr:rowOff>160020</xdr:rowOff>
    </xdr:from>
    <xdr:to>
      <xdr:col>4</xdr:col>
      <xdr:colOff>944880</xdr:colOff>
      <xdr:row>6</xdr:row>
      <xdr:rowOff>17780</xdr:rowOff>
    </xdr:to>
    <xdr:sp macro="RegistrarSesio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9E04ADA-A450-045A-846E-9B3E9E84947F}"/>
            </a:ext>
          </a:extLst>
        </xdr:cNvPr>
        <xdr:cNvSpPr/>
      </xdr:nvSpPr>
      <xdr:spPr>
        <a:xfrm>
          <a:off x="3810000" y="952500"/>
          <a:ext cx="2286000" cy="406400"/>
        </a:xfrm>
        <a:prstGeom prst="roundRect">
          <a:avLst/>
        </a:prstGeom>
        <a:solidFill>
          <a:srgbClr val="3587D8"/>
        </a:solidFill>
        <a:ln>
          <a:solidFill>
            <a:srgbClr val="1F335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1100" b="1">
              <a:solidFill>
                <a:srgbClr val="FFFFFF"/>
              </a:solidFill>
            </a:rPr>
            <a:t>REGISTRAR SESIÃ“N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3CAB696-9AD4-427C-92B5-C915FE2DB5D5}" name="tblUsers" displayName="tblUsers" ref="A20:K21" insertRow="1" totalsRowShown="0" headerRowDxfId="248" dataDxfId="247">
  <autoFilter ref="A20:K21" xr:uid="{63CAB696-9AD4-427C-92B5-C915FE2DB5D5}"/>
  <tableColumns count="11">
    <tableColumn id="1" xr3:uid="{CD7CF0B2-E32D-4E7B-8BB2-0E162AC3AEC7}" name="UserID" dataDxfId="246"/>
    <tableColumn id="2" xr3:uid="{A755E455-AD44-4D5E-868F-DFD8FFCEF73F}" name="Alias" dataDxfId="245"/>
    <tableColumn id="3" xr3:uid="{031CE7E9-4617-4E37-B27E-87F9137D56DE}" name="Age" dataDxfId="244"/>
    <tableColumn id="4" xr3:uid="{56BA1F33-ECED-4799-A95A-32AAB1CD5F46}" name="Sex" dataDxfId="243"/>
    <tableColumn id="5" xr3:uid="{285CE61B-85B4-4C77-8BE1-72C4DFC08E54}" name="WeightKg" dataDxfId="242"/>
    <tableColumn id="6" xr3:uid="{83B60F86-EDEE-4B82-B233-71A89A94704F}" name="HeightCm" dataDxfId="241"/>
    <tableColumn id="7" xr3:uid="{A7F334B0-C13C-4C2D-B59E-133CA88C4C31}" name="WingspanCm" dataDxfId="240"/>
    <tableColumn id="8" xr3:uid="{06EBFE95-30A1-428F-9FAF-B1EAC53F0CEB}" name="ExperienceYears" dataDxfId="239"/>
    <tableColumn id="9" xr3:uid="{82CFE606-0895-44BE-A052-92BFDCC68829}" name="Modality" dataDxfId="238"/>
    <tableColumn id="10" xr3:uid="{9AA9E00D-1173-410C-80A5-274BBA9DDA45}" name="CreatedAt" dataDxfId="237"/>
    <tableColumn id="11" xr3:uid="{9A3ADF9E-2D03-4E0C-97E5-25EBB1BECE11}" name="Status" dataDxfId="23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44C6879-B935-4463-A5FB-3E42701BAE9B}" name="tblUserLimitations" displayName="tblUserLimitations" ref="M20:S21" insertRow="1" totalsRowShown="0" headerRowDxfId="235" dataDxfId="234">
  <autoFilter ref="M20:S21" xr:uid="{544C6879-B935-4463-A5FB-3E42701BAE9B}"/>
  <tableColumns count="7">
    <tableColumn id="1" xr3:uid="{3DCEB381-7CA7-4C68-B753-C88C894A28C3}" name="LimitationID" dataDxfId="233"/>
    <tableColumn id="2" xr3:uid="{A5B4F3D4-3BE8-4131-B6F7-168AAB449F41}" name="UserID" dataDxfId="232"/>
    <tableColumn id="3" xr3:uid="{98CD0A39-4142-4172-BABF-A8674BF38130}" name="Region" dataDxfId="231"/>
    <tableColumn id="4" xr3:uid="{4A6E0D2E-C0E4-4D9E-BD4B-CE09375B5D69}" name="Status" dataDxfId="230"/>
    <tableColumn id="5" xr3:uid="{147CF486-2C6E-47F6-8D41-AA2B3BB15E10}" name="Severity" dataDxfId="229"/>
    <tableColumn id="6" xr3:uid="{60994CEE-4652-4A8F-9283-C495F4E8670E}" name="Notes" dataDxfId="228"/>
    <tableColumn id="7" xr3:uid="{54E14495-5716-4CB9-85BA-E3081712E094}" name="RecordedAt" dataDxfId="22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150C6F6-7947-496E-861A-635C99369C19}" name="tblObjectives" displayName="tblObjectives" ref="A8:F9" insertRow="1" totalsRowShown="0" headerRowDxfId="226" dataDxfId="225">
  <autoFilter ref="A8:F9" xr:uid="{A150C6F6-7947-496E-861A-635C99369C19}"/>
  <tableColumns count="6">
    <tableColumn id="1" xr3:uid="{9534EE2A-0066-4668-A32C-2696DD0D54DC}" name="ObjectiveEntryID" dataDxfId="224"/>
    <tableColumn id="2" xr3:uid="{3A3AEE00-6703-4CBE-9CE7-7EA505FF6905}" name="UserID" dataDxfId="223"/>
    <tableColumn id="3" xr3:uid="{6B09205F-6A37-475E-9CC8-BD3FB820F893}" name="Objective" dataDxfId="222"/>
    <tableColumn id="4" xr3:uid="{69C8D8B0-8098-4980-881B-93EE47A1E322}" name="Priority" dataDxfId="221"/>
    <tableColumn id="5" xr3:uid="{C1CA1478-5FF5-4F70-A372-DB3736BF58D4}" name="Weight" dataDxfId="220"/>
    <tableColumn id="6" xr3:uid="{8FEE52C7-8BD3-4042-B007-84696482CFEF}" name="IsPrimary" dataDxfId="21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D3959B4-E10B-485B-B813-547ED79BE06E}" name="tblUserEquipment" displayName="tblUserEquipment" ref="A10:E11" insertRow="1" totalsRowShown="0" headerRowDxfId="218" dataDxfId="217">
  <autoFilter ref="A10:E11" xr:uid="{0D3959B4-E10B-485B-B813-547ED79BE06E}"/>
  <tableColumns count="5">
    <tableColumn id="1" xr3:uid="{6710C210-A931-44D9-B3A2-6DB2031A0F10}" name="UserEquipmentID" dataDxfId="216"/>
    <tableColumn id="2" xr3:uid="{6E3D7DC2-69D7-4E43-98B4-E1BAE4B12463}" name="UserID" dataDxfId="215"/>
    <tableColumn id="3" xr3:uid="{AE94ED55-7E4B-42E5-87F3-0E468E0D4045}" name="Equipment" dataDxfId="214"/>
    <tableColumn id="4" xr3:uid="{E3642402-EC17-4D20-A516-F1785EAAF71B}" name="Available" dataDxfId="213"/>
    <tableColumn id="5" xr3:uid="{5010CA05-1230-4ABF-B6D0-55DE3BDE2078}" name="Notes" dataDxfId="21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1BFC74E-583F-4405-B311-80D667D1D833}" name="tblPlans" displayName="tblPlans" ref="A4:F5" totalsRowShown="0" headerRowDxfId="211" dataDxfId="210">
  <autoFilter ref="A4:F5" xr:uid="{A1BFC74E-583F-4405-B311-80D667D1D833}"/>
  <tableColumns count="6">
    <tableColumn id="1" xr3:uid="{A3626117-C35E-4E86-BE7B-E7A2E8B86857}" name="PlanID" dataDxfId="209"/>
    <tableColumn id="2" xr3:uid="{3B347FDA-F411-4B6D-805A-245F1585DCAB}" name="UserID" dataDxfId="208"/>
    <tableColumn id="3" xr3:uid="{6691FF7E-4035-4ED0-B1AF-78F84D3D31BC}" name="CreatedAt" dataDxfId="207"/>
    <tableColumn id="4" xr3:uid="{6AADF7F4-0FD2-44EB-B2F3-DFF58F912A87}" name="Status" dataDxfId="206"/>
    <tableColumn id="5" xr3:uid="{ED612345-C793-4162-B4B2-8C8DC66FAC1E}" name="RulePackageVersionUsed" dataDxfId="205"/>
    <tableColumn id="6" xr3:uid="{C350319E-AB91-4DFE-A928-D96CC7ADB7AD}" name="PrimaryObjective" dataDxfId="20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9179DDF-ADA9-43BB-BE13-B01CA5CD4788}" name="tblSessions" displayName="tblSessions" ref="H4:N7" totalsRowShown="0" headerRowDxfId="203" dataDxfId="202">
  <autoFilter ref="H4:N7" xr:uid="{19179DDF-ADA9-43BB-BE13-B01CA5CD4788}"/>
  <tableColumns count="7">
    <tableColumn id="1" xr3:uid="{933C623F-9C07-4105-936F-4B4067033828}" name="SessionID" dataDxfId="201"/>
    <tableColumn id="2" xr3:uid="{39C3B904-8AAB-45AA-BCB2-CD65EBCEE163}" name="PlanID" dataDxfId="200"/>
    <tableColumn id="3" xr3:uid="{DB269231-3BFA-474C-AF26-E215893CD78A}" name="Date" dataDxfId="199"/>
    <tableColumn id="4" xr3:uid="{A79B4E39-7C62-415A-B002-75D847F3593B}" name="Day" dataDxfId="198"/>
    <tableColumn id="5" xr3:uid="{74A1AB41-7DEE-464E-846A-776E15F1478E}" name="Objective" dataDxfId="197"/>
    <tableColumn id="6" xr3:uid="{8AE5818C-AE68-44C7-B562-742BB72C81E3}" name="PlannedMinutes" dataDxfId="196"/>
    <tableColumn id="7" xr3:uid="{3E106C84-4A60-4959-9F4B-58230E6731CE}" name="Ruleset" dataDxfId="19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533E1A2-D6FC-4E36-A949-43BA40570A03}" name="tblSessionExercises" displayName="tblSessionExercises" ref="P4:AC5" totalsRowShown="0" headerRowDxfId="194" dataDxfId="193">
  <autoFilter ref="P4:AC5" xr:uid="{A533E1A2-D6FC-4E36-A949-43BA40570A03}"/>
  <tableColumns count="14">
    <tableColumn id="1" xr3:uid="{FF20F3AF-3E6D-4CE9-A0F2-8E02A38C0CF6}" name="SessionExerciseID" dataDxfId="192"/>
    <tableColumn id="2" xr3:uid="{B985CC78-5CDB-4574-B643-A649C5CCE9AC}" name="SessionID" dataDxfId="191"/>
    <tableColumn id="3" xr3:uid="{D6BCA14B-AC70-4A92-AA80-994310996E51}" name="ExerciseID" dataDxfId="190"/>
    <tableColumn id="4" xr3:uid="{C3A747F8-2F06-43C9-BE9A-AA008F485D1C}" name="Exercise" dataDxfId="189"/>
    <tableColumn id="5" xr3:uid="{61A918C7-468F-474A-957A-30F088B7BE14}" name="Sets" dataDxfId="188"/>
    <tableColumn id="6" xr3:uid="{CFA6C7F2-4EB7-430C-8A43-FE00148811AA}" name="Reps" dataDxfId="187"/>
    <tableColumn id="7" xr3:uid="{604193D7-3517-4CCB-98E9-C69190C43437}" name="Duration" dataDxfId="186"/>
    <tableColumn id="8" xr3:uid="{CA1C4B5C-15FA-4CAA-8DD4-5A0FD24B0926}" name="Intensity" dataDxfId="185"/>
    <tableColumn id="9" xr3:uid="{852D4F93-A457-4386-84CB-E2EE276C4A3F}" name="Load" dataDxfId="184"/>
    <tableColumn id="10" xr3:uid="{86C3FD44-692E-43A7-97CB-F9D72ADAC150}" name="Rest" dataDxfId="183"/>
    <tableColumn id="11" xr3:uid="{8A9BB281-55AA-40BD-9257-0553EB30667D}" name="RPEObjective" dataDxfId="182"/>
    <tableColumn id="12" xr3:uid="{A1D4C1BD-3B9E-4A4A-AF96-E5FCE6965916}" name="Notes" dataDxfId="181"/>
    <tableColumn id="13" xr3:uid="{5908EFBA-ECEF-4C64-A82C-C3330378CB67}" name="Ruleset" dataDxfId="180"/>
    <tableColumn id="14" xr3:uid="{E3A0BFC8-F14E-415F-9C9F-95160561BD18}" name="RuleIDs" dataDxfId="17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181580-4D49-4A29-AC64-551167044E84}" name="tblSessionFeedback" displayName="tblSessionFeedback" ref="A20:N21" insertRow="1" totalsRowShown="0" headerRowDxfId="178" dataDxfId="177">
  <autoFilter ref="A20:N21" xr:uid="{7D181580-4D49-4A29-AC64-551167044E84}"/>
  <tableColumns count="14">
    <tableColumn id="1" xr3:uid="{DDED90B7-5F44-43D6-BF73-B60C7AA42F5F}" name="FeedbackID" dataDxfId="176"/>
    <tableColumn id="2" xr3:uid="{96449CF0-6E75-485C-ABDD-C48A06A4EAD1}" name="SessionID" dataDxfId="175"/>
    <tableColumn id="3" xr3:uid="{DD8785B1-90EA-4BDA-9151-C76AA1AEE093}" name="Status" dataDxfId="174"/>
    <tableColumn id="4" xr3:uid="{91BA4FF4-0161-4497-87AF-E8EDB6A51EEA}" name="CompletionPct" dataDxfId="173"/>
    <tableColumn id="5" xr3:uid="{742C12F0-1274-49D3-810F-18AD465D99A0}" name="RPE" dataDxfId="172"/>
    <tableColumn id="6" xr3:uid="{6F48333D-42C4-432E-85A8-0224ACE57926}" name="Fatigue" dataDxfId="171"/>
    <tableColumn id="7" xr3:uid="{0E0C0E21-2625-46A1-A891-80B5E3F6E9A0}" name="Quality" dataDxfId="170"/>
    <tableColumn id="8" xr3:uid="{561023AC-CD24-44FC-8C5A-FEFC39D47617}" name="Pain" dataDxfId="169"/>
    <tableColumn id="9" xr3:uid="{488A203F-5D5C-4BA1-9482-5D21D50463BA}" name="SetsDone" dataDxfId="168"/>
    <tableColumn id="10" xr3:uid="{6ACB14CD-C6C9-4D01-ACD2-A5F000B70BA3}" name="RepsDone" dataDxfId="167"/>
    <tableColumn id="11" xr3:uid="{9BF16AC6-06B0-4F9A-B298-53D42257E3C5}" name="LoadDone" dataDxfId="166"/>
    <tableColumn id="12" xr3:uid="{51BCE3A1-A365-498F-B0F7-4C1E928D353D}" name="TimeDone" dataDxfId="165"/>
    <tableColumn id="13" xr3:uid="{CAD1A757-2F16-4DB4-AB12-1C6C0807D685}" name="Comments" dataDxfId="164"/>
    <tableColumn id="14" xr3:uid="{5686913B-5950-4220-B970-F75F63C47758}" name="Timestamp" dataDxfId="163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40E27C8-7862-42A6-A5F8-711E6DCB7464}" name="tblExercises" displayName="tblExercises" ref="A4:AC12" totalsRowShown="0" headerRowDxfId="162" dataDxfId="161">
  <autoFilter ref="A4:AC12" xr:uid="{D40E27C8-7862-42A6-A5F8-711E6DCB7464}"/>
  <tableColumns count="29">
    <tableColumn id="1" xr3:uid="{4BC11584-1640-4C01-B268-D619AB5C27F8}" name="ExerciseID" dataDxfId="160"/>
    <tableColumn id="2" xr3:uid="{EFA665BE-EDF6-4D5A-ABA7-8BA151DA26E6}" name="Name" dataDxfId="159"/>
    <tableColumn id="3" xr3:uid="{5D95DE61-F33D-4810-A987-5223C03CA77E}" name="Category" dataDxfId="158"/>
    <tableColumn id="4" xr3:uid="{8AFAF6BB-DE2B-48E4-8E5C-25DF050BF318}" name="Subcategory" dataDxfId="157"/>
    <tableColumn id="5" xr3:uid="{A603966C-C82F-4F4A-AFA0-E835B4AA9766}" name="Objective" dataDxfId="156"/>
    <tableColumn id="6" xr3:uid="{51329D2F-3DC3-4316-94C2-2CF6A7B3D6AC}" name="LevelMin" dataDxfId="155"/>
    <tableColumn id="7" xr3:uid="{A39AAED1-1457-4CC5-B44B-409EFD1D049A}" name="LevelMax" dataDxfId="154"/>
    <tableColumn id="8" xr3:uid="{6C67F567-B41B-4F11-9340-C197DA665C88}" name="Modality" dataDxfId="153"/>
    <tableColumn id="9" xr3:uid="{BC5ECAB0-EFD8-45B2-8F07-EB9ED12034F7}" name="Equipment" dataDxfId="152"/>
    <tableColumn id="10" xr3:uid="{B4CA9C5A-D795-4B18-BCE4-A63AA8807AA3}" name="BodyZone" dataDxfId="151"/>
    <tableColumn id="11" xr3:uid="{1C9F16EE-6FFB-41AF-AC07-99AF6D3AEA63}" name="StimulusType" dataDxfId="150"/>
    <tableColumn id="12" xr3:uid="{5805ADD1-8E43-4CC7-89DC-344CC2A2A262}" name="PrescriptionUnit" dataDxfId="149"/>
    <tableColumn id="13" xr3:uid="{719FA512-879B-4673-8805-0B0A737EEBF1}" name="MinSets" dataDxfId="148"/>
    <tableColumn id="14" xr3:uid="{B6B13F27-7925-475F-936F-AE42C1C7B273}" name="MaxSets" dataDxfId="147"/>
    <tableColumn id="15" xr3:uid="{ECB2DA7A-0000-47D6-9C11-266FE32DA2B2}" name="MinReps" dataDxfId="146"/>
    <tableColumn id="16" xr3:uid="{4F2E86AB-3DE0-41D3-AE80-1918BB971CDA}" name="MaxReps" dataDxfId="145"/>
    <tableColumn id="17" xr3:uid="{3D017653-FA08-44C4-A550-11323FB817F1}" name="Duration" dataDxfId="144"/>
    <tableColumn id="18" xr3:uid="{AD2E4AF6-228D-4512-A317-7D954F7C27F7}" name="IntensityType" dataDxfId="143"/>
    <tableColumn id="19" xr3:uid="{D95C8FE0-E21B-40CA-BF18-D1B287E5A981}" name="RPE" dataDxfId="142"/>
    <tableColumn id="20" xr3:uid="{135E7F77-76B5-43A4-8CE0-D90D7158B0EF}" name="RIR" dataDxfId="141"/>
    <tableColumn id="21" xr3:uid="{21FD7B64-CEF7-4854-99E6-2941D86BE193}" name="Rest" dataDxfId="140"/>
    <tableColumn id="22" xr3:uid="{9B478276-96A1-40A3-9B84-60A12683C530}" name="Frequency" dataDxfId="139"/>
    <tableColumn id="23" xr3:uid="{D4E893E9-A696-4CE8-8455-82CF5B31E81E}" name="ProgressionRule" dataDxfId="138"/>
    <tableColumn id="24" xr3:uid="{91335E5E-D833-4AA8-B062-4395D8CBE419}" name="RegressionRule" dataDxfId="137"/>
    <tableColumn id="25" xr3:uid="{7CE7CE0F-661F-495A-A9F5-09388B9C8249}" name="Contraindications" dataDxfId="136"/>
    <tableColumn id="26" xr3:uid="{E1202E1D-558D-487C-95EB-FFED953D8050}" name="EvidenceID" dataDxfId="135"/>
    <tableColumn id="27" xr3:uid="{8E6A13C7-4374-4436-A4FD-4830CD4DF505}" name="Tags" dataDxfId="134"/>
    <tableColumn id="28" xr3:uid="{CAFAF034-F68F-4134-9671-BFDE88C877EA}" name="Notes" dataDxfId="133"/>
    <tableColumn id="29" xr3:uid="{845C2CB7-4A49-4AE3-A3C4-4A9CD8C14B2F}" name="EstimatedMinutes" dataDxfId="13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8A475EE-5218-47A7-A049-1CB3FFCD1C49}" name="tblTests" displayName="tblTests" ref="A4:M7" totalsRowShown="0" headerRowDxfId="131" dataDxfId="130">
  <autoFilter ref="A4:M7" xr:uid="{B8A475EE-5218-47A7-A049-1CB3FFCD1C49}"/>
  <tableColumns count="13">
    <tableColumn id="1" xr3:uid="{8A3830B8-618B-49B8-914C-77EC7A60B161}" name="TestID" dataDxfId="129"/>
    <tableColumn id="2" xr3:uid="{C995B447-22E6-4DF5-BC26-614F954966A5}" name="Name" dataDxfId="128"/>
    <tableColumn id="3" xr3:uid="{C4DC87DA-AA3C-4004-B592-9BA561071AA8}" name="Objective" dataDxfId="127"/>
    <tableColumn id="4" xr3:uid="{8C3D3BD3-38C5-4463-92A7-02C737C77A2B}" name="RequiredLevel" dataDxfId="126"/>
    <tableColumn id="5" xr3:uid="{D4A09EFE-5CDF-48D2-8B3F-C16568CFF411}" name="Equipment" dataDxfId="125"/>
    <tableColumn id="6" xr3:uid="{087F6C32-1A1A-4796-9B59-8F2EB965B436}" name="Unit" dataDxfId="124"/>
    <tableColumn id="7" xr3:uid="{2BC7032F-DA3C-4FA4-A7A4-EC80B7647D05}" name="Protocol" dataDxfId="123"/>
    <tableColumn id="8" xr3:uid="{F2C37010-A730-492E-BC50-FDC69C9C35A0}" name="Eligibility" dataDxfId="122"/>
    <tableColumn id="9" xr3:uid="{70B1CC88-85D1-49D7-96FC-4C38925F35E2}" name="Risks" dataDxfId="121"/>
    <tableColumn id="10" xr3:uid="{ADD488EA-9FD3-49B8-BA67-8DE53B75F166}" name="SourceID" dataDxfId="120"/>
    <tableColumn id="11" xr3:uid="{0371FF19-0852-47B7-B151-2AD982C23883}" name="Validity" dataDxfId="119"/>
    <tableColumn id="12" xr3:uid="{F763E0E5-4469-4DE1-B252-2D34F305299B}" name="Reliability" dataDxfId="118"/>
    <tableColumn id="13" xr3:uid="{ACC3FF48-544A-4D4C-A2DC-E8C9D7B2D015}" name="Limitations" dataDxfId="11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680CE6E-119C-4C32-BBFA-BE7E46A6C685}" name="tblRules" displayName="tblRules" ref="A4:J22" totalsRowShown="0" headerRowDxfId="116" dataDxfId="115">
  <autoFilter ref="A4:J22" xr:uid="{5680CE6E-119C-4C32-BBFA-BE7E46A6C685}"/>
  <tableColumns count="10">
    <tableColumn id="1" xr3:uid="{D1BE6EF5-69DD-4CB5-B8CE-D58982B76D86}" name="RulesetVersion" dataDxfId="114"/>
    <tableColumn id="2" xr3:uid="{D65C06C0-D26E-4AB4-AD83-90E26135A8BE}" name="RuleID" dataDxfId="113"/>
    <tableColumn id="3" xr3:uid="{3346FDD6-70FD-45A5-A92F-62354672A728}" name="RuleType" dataDxfId="112"/>
    <tableColumn id="4" xr3:uid="{D938C9F3-4283-48F2-928D-B733C07FD131}" name="Priority" dataDxfId="111"/>
    <tableColumn id="5" xr3:uid="{59E8E2D2-A29B-47F7-92DA-797CA61D202F}" name="Description" dataDxfId="110"/>
    <tableColumn id="6" xr3:uid="{2E9E9DC6-000E-40EC-A37D-74CEE28808CB}" name="Classification" dataDxfId="109"/>
    <tableColumn id="7" xr3:uid="{923AC0DC-6C37-4E32-9CB2-78945ECF780C}" name="EvidenceStatus" dataDxfId="108"/>
    <tableColumn id="8" xr3:uid="{8733E9EA-C18F-44AD-A649-9BDDEB10E33B}" name="SourceIDs" dataDxfId="107"/>
    <tableColumn id="9" xr3:uid="{BB722E8D-4C2B-4753-B722-CA744F69E761}" name="Rationale" dataDxfId="106"/>
    <tableColumn id="10" xr3:uid="{4D3E364A-C70F-4992-940B-83E05EC9155F}" name="Enabled" dataDxfId="105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3D7DDF2-2A4B-4E1C-AEB9-8D5BDF3E0213}" name="tblRuleConditions" displayName="tblRuleConditions" ref="A4:H30" totalsRowShown="0" headerRowDxfId="104" dataDxfId="103">
  <autoFilter ref="A4:H30" xr:uid="{A3D7DDF2-2A4B-4E1C-AEB9-8D5BDF3E0213}"/>
  <tableColumns count="8">
    <tableColumn id="1" xr3:uid="{02A948E8-EA46-4C56-AA3F-DF2D153C433F}" name="RulesetVersion" dataDxfId="102"/>
    <tableColumn id="2" xr3:uid="{76BAA50E-57B2-4666-BCC2-2B7CC8D2DABA}" name="ConditionID" dataDxfId="101"/>
    <tableColumn id="3" xr3:uid="{98F70D1A-F272-4F32-93C1-C38AAD9C01D4}" name="RuleID" dataDxfId="100"/>
    <tableColumn id="4" xr3:uid="{35524EC6-E9CF-4FFD-9631-8FF5637F63FB}" name="GroupID" dataDxfId="99"/>
    <tableColumn id="5" xr3:uid="{18FE8C27-85ED-4628-8B7C-BB51FB68505E}" name="Field" dataDxfId="98"/>
    <tableColumn id="6" xr3:uid="{29A2D21D-DF93-4321-88BE-5BA9542AC09E}" name="Operator" dataDxfId="97"/>
    <tableColumn id="7" xr3:uid="{00291D75-454F-45D7-8264-5DB0E2288937}" name="Value1" dataDxfId="96"/>
    <tableColumn id="8" xr3:uid="{B4058E7B-EF9A-4FEB-873B-590171730F89}" name="Value2" dataDxfId="9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A7F6F54-EF83-4D49-A9B1-D54F4736417A}" name="tblRuleActions" displayName="tblRuleActions" ref="A4:F32" totalsRowShown="0" headerRowDxfId="94" dataDxfId="93">
  <autoFilter ref="A4:F32" xr:uid="{DA7F6F54-EF83-4D49-A9B1-D54F4736417A}"/>
  <tableColumns count="6">
    <tableColumn id="1" xr3:uid="{1B87544A-D922-40F5-8CB8-A1996DEEBC52}" name="RulesetVersion" dataDxfId="92"/>
    <tableColumn id="2" xr3:uid="{BC6CCCBE-01C1-405C-ABA2-6B6686B2E162}" name="ActionID" dataDxfId="91"/>
    <tableColumn id="3" xr3:uid="{E5FE4B7A-B7CF-41C1-9642-285474FE3AE8}" name="RuleID" dataDxfId="90"/>
    <tableColumn id="4" xr3:uid="{390C120A-2DA6-472F-A46D-FE4D225941B2}" name="ActionType" dataDxfId="89"/>
    <tableColumn id="5" xr3:uid="{63A80711-0B7B-40DA-9B67-857A8DDF0E3F}" name="Target" dataDxfId="88"/>
    <tableColumn id="6" xr3:uid="{E48F1894-B9C9-46F9-A91E-1E4FFCFC5A20}" name="Value" dataDxfId="8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8C5A971-A7D0-4F88-BD98-0EBFB8C99B14}" name="tblActionCatalog" displayName="tblActionCatalog" ref="H4:I26" totalsRowShown="0" headerRowDxfId="86" dataDxfId="85">
  <autoFilter ref="H4:I26" xr:uid="{18C5A971-A7D0-4F88-BD98-0EBFB8C99B14}"/>
  <tableColumns count="2">
    <tableColumn id="1" xr3:uid="{434BB943-4CA3-4CBE-947B-471A7420AB25}" name="ActionType" dataDxfId="84"/>
    <tableColumn id="2" xr3:uid="{7A516D95-F248-4F13-9E9F-B3ECF1C748BD}" name="Description" dataDxfId="8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255D379B-DBF3-4BFB-ACE7-1B8C556004C6}" name="tblParameters" displayName="tblParameters" ref="A4:H13" totalsRowShown="0" headerRowDxfId="82" dataDxfId="81">
  <autoFilter ref="A4:H13" xr:uid="{255D379B-DBF3-4BFB-ACE7-1B8C556004C6}"/>
  <tableColumns count="8">
    <tableColumn id="1" xr3:uid="{8AD71149-BC40-4F07-BD95-8E4D90D2C0EB}" name="RulesetVersion" dataDxfId="80"/>
    <tableColumn id="2" xr3:uid="{AC51A01D-57C6-4CAA-B736-1665430ED515}" name="ParameterID" dataDxfId="79"/>
    <tableColumn id="3" xr3:uid="{AD855A29-896E-4738-A9D4-D9FF7F88C030}" name="Category" dataDxfId="78"/>
    <tableColumn id="4" xr3:uid="{3F62D405-9119-495C-8EE8-936F8043F64E}" name="Name" dataDxfId="77"/>
    <tableColumn id="5" xr3:uid="{D3EE6868-0A45-469B-9841-968FD6EAEF71}" name="Value" dataDxfId="76"/>
    <tableColumn id="6" xr3:uid="{0F2E989A-C035-4794-897C-EDBC000BC307}" name="Unit" dataDxfId="75"/>
    <tableColumn id="7" xr3:uid="{7287B16E-27F8-4333-AA6F-FFF6606C07E5}" name="EvidenceIDs" dataDxfId="74"/>
    <tableColumn id="8" xr3:uid="{EBE308F1-B207-420E-9CFC-E7C7824E2186}" name="EvidenceStatus" dataDxfId="73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6C63FF24-A8E5-4CA1-84C5-3E2F0F8BCF05}" name="tblRuleParameters" displayName="tblRuleParameters" ref="K4:N5" insertRow="1" totalsRowShown="0" headerRowDxfId="72" dataDxfId="71">
  <autoFilter ref="K4:N5" xr:uid="{6C63FF24-A8E5-4CA1-84C5-3E2F0F8BCF05}"/>
  <tableColumns count="4">
    <tableColumn id="1" xr3:uid="{FA94D2F6-74CB-43AF-9A0D-58E54E8C8B1C}" name="RuleID" dataDxfId="70"/>
    <tableColumn id="2" xr3:uid="{BEDC73DA-6363-48F0-944E-0603EFA7BE87}" name="RulesetVersion" dataDxfId="69"/>
    <tableColumn id="3" xr3:uid="{3597C141-EF18-482A-B192-2DAC518A26FA}" name="ParameterID" dataDxfId="68"/>
    <tableColumn id="4" xr3:uid="{6AADB497-7ED3-445D-9261-0EB5212F8656}" name="Purpose" dataDxfId="67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BF72EB1-E6C1-4F36-867F-C85BA71D6C8B}" name="tblRulePackages" displayName="tblRulePackages" ref="A4:G6" totalsRowShown="0" headerRowDxfId="66" dataDxfId="65">
  <autoFilter ref="A4:G6" xr:uid="{3BF72EB1-E6C1-4F36-867F-C85BA71D6C8B}"/>
  <tableColumns count="7">
    <tableColumn id="1" xr3:uid="{BE2E1144-01DF-4F58-AD4C-AE7F9C2180E1}" name="Version" dataDxfId="64"/>
    <tableColumn id="2" xr3:uid="{F5B0DFA8-0A3B-4685-9E0E-653F5374D54A}" name="Name" dataDxfId="63"/>
    <tableColumn id="3" xr3:uid="{5BD3D6E7-5BAB-45EA-BCFA-9B8804974FF7}" name="Status" dataDxfId="62"/>
    <tableColumn id="4" xr3:uid="{7F25C1F5-7226-4A43-9D6F-B6D8F0590A83}" name="Valid" dataDxfId="61"/>
    <tableColumn id="5" xr3:uid="{7BF96FA2-CE25-4B34-AE16-D72A461CA052}" name="Default" dataDxfId="60"/>
    <tableColumn id="6" xr3:uid="{64180E51-420D-447A-8B96-F8EDCA83DE6A}" name="Immutable" dataDxfId="59"/>
    <tableColumn id="7" xr3:uid="{EE11CEE9-5741-43E2-91F5-F68F33790330}" name="Notes" dataDxfId="58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AC31FD4-7F07-43ED-B6C3-04474919B14E}" name="tblEvidence" displayName="tblEvidence" ref="A4:S12" totalsRowShown="0" headerRowDxfId="57" dataDxfId="56">
  <autoFilter ref="A4:S12" xr:uid="{0AC31FD4-7F07-43ED-B6C3-04474919B14E}"/>
  <tableColumns count="19">
    <tableColumn id="1" xr3:uid="{6BF312BA-FC1E-405E-985C-B6DF2B254A1B}" name="SourceID" dataDxfId="55"/>
    <tableColumn id="2" xr3:uid="{70FE4E7E-0981-4E15-86BD-4188F51FE92D}" name="SourceType" dataDxfId="54"/>
    <tableColumn id="3" xr3:uid="{692E554B-6010-46B8-99EF-88383DAC88ED}" name="Authors" dataDxfId="53"/>
    <tableColumn id="4" xr3:uid="{668BFEC7-C9DA-4449-B82E-3CA54032CCE0}" name="Title" dataDxfId="52"/>
    <tableColumn id="5" xr3:uid="{C7E5A246-BACC-4D9F-BC2B-F15B2E4CA5A3}" name="Year" dataDxfId="51"/>
    <tableColumn id="6" xr3:uid="{AAD355B6-E53F-43CC-9701-8E3D654E6F93}" name="Journal" dataDxfId="50"/>
    <tableColumn id="7" xr3:uid="{D2C6EEEB-3230-4D34-AFBF-7C4CC3761755}" name="Volume" dataDxfId="49"/>
    <tableColumn id="8" xr3:uid="{C9B0D096-2E10-40B4-8646-BECE7E216A69}" name="Issue" dataDxfId="48"/>
    <tableColumn id="9" xr3:uid="{32512F6A-9686-451D-BF6A-B633BCA91F4F}" name="Pages" dataDxfId="47"/>
    <tableColumn id="10" xr3:uid="{829A4489-092A-40BE-8D63-2A42D3E7CA88}" name="DOI" dataDxfId="46"/>
    <tableColumn id="11" xr3:uid="{9BCA58C7-CD06-4888-9FBB-20FB6D13840F}" name="PMID" dataDxfId="45"/>
    <tableColumn id="12" xr3:uid="{6FB987DE-C693-4322-AA66-388D9C46C876}" name="URL" dataDxfId="44"/>
    <tableColumn id="13" xr3:uid="{4AA03B90-FB1B-4EEC-B33D-C74CB027A3CE}" name="AccessedDate" dataDxfId="43"/>
    <tableColumn id="14" xr3:uid="{98C5B58D-B591-4710-8E12-A13A2BB9C032}" name="EvidenceLevel" dataDxfId="42"/>
    <tableColumn id="15" xr3:uid="{94AA1E26-919E-427E-B43F-3003EADD2B59}" name="ClimbingSpecific" dataDxfId="41"/>
    <tableColumn id="16" xr3:uid="{6C7CA154-F704-4E5F-B098-71D6FC084189}" name="Population" dataDxfId="40"/>
    <tableColumn id="17" xr3:uid="{8369BE7E-FA85-4DB8-9A13-13917E515B67}" name="MainFinding" dataDxfId="39"/>
    <tableColumn id="18" xr3:uid="{56E65DB3-67D6-4139-9255-79E1791778CF}" name="Limitations" dataDxfId="38"/>
    <tableColumn id="19" xr3:uid="{34D5940F-E0E2-4094-8A57-31191F30348B}" name="Notes" dataDxfId="37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0BFF0D2-4B38-468F-9963-10127282FD40}" name="tblRuleEvidence" displayName="tblRuleEvidence" ref="A4:F21" totalsRowShown="0" headerRowDxfId="36" dataDxfId="35">
  <autoFilter ref="A4:F21" xr:uid="{90BFF0D2-4B38-468F-9963-10127282FD40}"/>
  <tableColumns count="6">
    <tableColumn id="1" xr3:uid="{9F7BFDD9-A169-4C61-909A-3357AAB07603}" name="RuleID" dataDxfId="34"/>
    <tableColumn id="2" xr3:uid="{65BB94E9-07A6-4235-846B-4D64DD214393}" name="RulesetVersion" dataDxfId="33"/>
    <tableColumn id="3" xr3:uid="{C0156A4D-F766-41C0-8095-5B42B598439F}" name="SourceID" dataDxfId="32"/>
    <tableColumn id="4" xr3:uid="{0ADE3B73-C475-4A19-95D3-B7657AE704A7}" name="RelationType" dataDxfId="31"/>
    <tableColumn id="5" xr3:uid="{002609C7-40AB-4AB0-8532-B176F7AE0418}" name="EvidenceStrength" dataDxfId="30"/>
    <tableColumn id="6" xr3:uid="{5B6AF8B8-393E-4F22-871D-6B9A022127CE}" name="Notes" dataDxfId="2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FCBF494-E227-4850-84E1-12EC0D2ED65A}" name="tblGradeScales" displayName="tblGradeScales" ref="A4:D8" totalsRowShown="0" headerRowDxfId="28" dataDxfId="27">
  <autoFilter ref="A4:D8" xr:uid="{1FCBF494-E227-4850-84E1-12EC0D2ED65A}"/>
  <tableColumns count="4">
    <tableColumn id="1" xr3:uid="{B9D40B8D-DE89-44E3-B55D-E9B974B57B6D}" name="ScaleID" dataDxfId="26"/>
    <tableColumn id="2" xr3:uid="{7035F70E-D72A-481A-B8D3-6531BC11E42F}" name="Discipline" dataDxfId="25"/>
    <tableColumn id="3" xr3:uid="{9DFBF865-C969-4AB9-AC67-1870B77B200E}" name="Code" dataDxfId="24"/>
    <tableColumn id="4" xr3:uid="{D35B380D-A8D7-4A5B-ADB0-ACFE4CBE7AA9}" name="Order" dataDxfId="23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4402782E-6A8E-4CE8-B929-C2E450506F32}" name="tblTestHistory" displayName="tblTestHistory" ref="A4:I5" insertRow="1" totalsRowShown="0" headerRowDxfId="22" dataDxfId="21">
  <autoFilter ref="A4:I5" xr:uid="{4402782E-6A8E-4CE8-B929-C2E450506F32}"/>
  <tableColumns count="9">
    <tableColumn id="1" xr3:uid="{9A7BE388-1399-4E47-91D4-FCC9FC36E3C5}" name="TestHistoryID" dataDxfId="20"/>
    <tableColumn id="2" xr3:uid="{D2E9557C-6A29-48F5-8A66-B7572630C891}" name="UserID" dataDxfId="19"/>
    <tableColumn id="3" xr3:uid="{96281798-F6DC-4CB6-93A5-1662EBC30837}" name="TestID" dataDxfId="18"/>
    <tableColumn id="4" xr3:uid="{3B09EA33-08B3-4EF3-BD1B-687F54812F92}" name="Date" dataDxfId="17"/>
    <tableColumn id="5" xr3:uid="{165F258F-A8B6-49F9-9E46-362067D56293}" name="Result" dataDxfId="16"/>
    <tableColumn id="6" xr3:uid="{D963ABB7-A1DA-4A69-BF74-22EE8B7857C0}" name="Unit" dataDxfId="15"/>
    <tableColumn id="7" xr3:uid="{5557762C-E7CE-47F0-8195-29453836BC53}" name="Protocol" dataDxfId="14"/>
    <tableColumn id="8" xr3:uid="{55627F11-E7D5-4CFA-8621-075334E5B41A}" name="Ruleset" dataDxfId="13"/>
    <tableColumn id="9" xr3:uid="{A28B356B-A62C-433E-93F8-A59BD485994D}" name="Observations" dataDxfId="1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A01C31E-6D32-4026-B4B6-40EB78B471D8}" name="tblDecisionLog" displayName="tblDecisionLog" ref="A4:J11" totalsRowShown="0" headerRowDxfId="11" dataDxfId="10">
  <autoFilter ref="A4:J11" xr:uid="{EA01C31E-6D32-4026-B4B6-40EB78B471D8}"/>
  <tableColumns count="10">
    <tableColumn id="1" xr3:uid="{1EE01F35-74BD-4135-838E-92653BD73CE0}" name="DecisionID" dataDxfId="9"/>
    <tableColumn id="2" xr3:uid="{0D81ABA8-2F94-4509-9641-DDF5C41A054D}" name="UserID" dataDxfId="8"/>
    <tableColumn id="3" xr3:uid="{FACE0BF8-59FA-4324-BFC2-37E3BE6AA60E}" name="PlanID" dataDxfId="7"/>
    <tableColumn id="4" xr3:uid="{952AE266-66D5-4B97-9B2E-67D46530C78A}" name="RulePackageVersion" dataDxfId="6"/>
    <tableColumn id="5" xr3:uid="{4A05F6C7-D2E7-427C-B155-F1BE779CA8CD}" name="RuleID" dataDxfId="5"/>
    <tableColumn id="6" xr3:uid="{F3ACC2E8-69BC-4703-9791-48CABBD0D5EC}" name="InputValues" dataDxfId="4"/>
    <tableColumn id="7" xr3:uid="{F9ACC72F-0082-418D-8228-DC247AF220C4}" name="Action" dataDxfId="3"/>
    <tableColumn id="8" xr3:uid="{8FBE072D-D2D9-4567-B66E-7ABBBE5B1D0F}" name="PreviousValue" dataDxfId="2"/>
    <tableColumn id="9" xr3:uid="{1C73231D-675F-42BC-831C-0DB0501AFD4F}" name="NewValue" dataDxfId="1"/>
    <tableColumn id="10" xr3:uid="{E31F099A-E446-450C-8C87-B468EDE59882}" name="Timestamp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40F52-D177-43E1-A139-A6E6C90E2094}">
  <sheetPr codeName="Hoja1"/>
  <dimension ref="A1:H8"/>
  <sheetViews>
    <sheetView showGridLines="0" tabSelected="1" workbookViewId="0">
      <selection sqref="A1:H1"/>
    </sheetView>
  </sheetViews>
  <sheetFormatPr baseColWidth="10" defaultRowHeight="14.4" x14ac:dyDescent="0.3"/>
  <cols>
    <col min="1" max="8" width="18.77734375" style="1" customWidth="1"/>
    <col min="9" max="16384" width="11.5546875" style="1"/>
  </cols>
  <sheetData>
    <row r="1" spans="1:8" ht="34.049999999999997" customHeight="1" x14ac:dyDescent="0.3">
      <c r="A1" s="8" t="s">
        <v>0</v>
      </c>
      <c r="B1" s="9"/>
      <c r="C1" s="9"/>
      <c r="D1" s="9"/>
      <c r="E1" s="9"/>
      <c r="F1" s="9"/>
      <c r="G1" s="9"/>
      <c r="H1" s="9"/>
    </row>
    <row r="2" spans="1:8" x14ac:dyDescent="0.3">
      <c r="A2" s="10" t="s">
        <v>1</v>
      </c>
      <c r="B2" s="11"/>
      <c r="C2" s="11"/>
      <c r="D2" s="11"/>
      <c r="E2" s="11"/>
      <c r="F2" s="11"/>
      <c r="G2" s="11"/>
      <c r="H2" s="11"/>
    </row>
    <row r="3" spans="1:8" ht="7.95" customHeight="1" x14ac:dyDescent="0.3">
      <c r="A3" s="2"/>
      <c r="B3" s="2"/>
      <c r="C3" s="2"/>
      <c r="D3" s="2"/>
      <c r="E3" s="2"/>
      <c r="F3" s="2"/>
      <c r="G3" s="2"/>
      <c r="H3" s="2"/>
    </row>
    <row r="4" spans="1:8" ht="21" x14ac:dyDescent="0.3">
      <c r="A4" s="12" t="s">
        <v>25</v>
      </c>
      <c r="B4" s="11"/>
      <c r="C4" s="11"/>
      <c r="D4" s="11"/>
      <c r="E4" s="11"/>
      <c r="F4" s="11"/>
      <c r="G4" s="11"/>
      <c r="H4" s="11"/>
    </row>
    <row r="5" spans="1:8" x14ac:dyDescent="0.3">
      <c r="A5" s="2"/>
      <c r="B5" s="2"/>
      <c r="C5" s="2"/>
      <c r="D5" s="2"/>
      <c r="E5" s="2"/>
      <c r="F5" s="2"/>
      <c r="G5" s="2"/>
      <c r="H5" s="2"/>
    </row>
    <row r="6" spans="1:8" x14ac:dyDescent="0.3">
      <c r="A6" s="2" t="s">
        <v>26</v>
      </c>
      <c r="B6" s="2" t="str">
        <f>_xlfn.SINGLE(cfgRulesetVersion)</f>
        <v>0.1.0-demo</v>
      </c>
      <c r="C6" s="2"/>
      <c r="D6" s="2"/>
      <c r="E6" s="2"/>
      <c r="F6" s="2"/>
      <c r="G6" s="2"/>
      <c r="H6" s="2"/>
    </row>
    <row r="7" spans="1:8" x14ac:dyDescent="0.3">
      <c r="A7" s="2" t="s">
        <v>27</v>
      </c>
      <c r="B7" s="13" t="s">
        <v>28</v>
      </c>
      <c r="C7" s="13"/>
      <c r="D7" s="13"/>
      <c r="E7" s="13"/>
      <c r="F7" s="13"/>
      <c r="G7" s="13"/>
      <c r="H7" s="13"/>
    </row>
    <row r="8" spans="1:8" x14ac:dyDescent="0.3">
      <c r="A8" s="2"/>
      <c r="B8" s="13"/>
      <c r="C8" s="13"/>
      <c r="D8" s="13"/>
      <c r="E8" s="13"/>
      <c r="F8" s="13"/>
      <c r="G8" s="13"/>
      <c r="H8" s="13"/>
    </row>
  </sheetData>
  <mergeCells count="4">
    <mergeCell ref="A1:H1"/>
    <mergeCell ref="A2:H2"/>
    <mergeCell ref="A4:H4"/>
    <mergeCell ref="B7:H8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55202-088F-4DDA-B509-304A66041F21}">
  <sheetPr codeName="Hoja2"/>
  <dimension ref="A1:S20"/>
  <sheetViews>
    <sheetView workbookViewId="0"/>
  </sheetViews>
  <sheetFormatPr baseColWidth="10" defaultRowHeight="14.4" x14ac:dyDescent="0.3"/>
  <cols>
    <col min="1" max="1" width="17.6640625" style="1" bestFit="1" customWidth="1"/>
    <col min="2" max="2" width="9.77734375" style="1" bestFit="1" customWidth="1"/>
    <col min="3" max="4" width="6.5546875" style="1" bestFit="1" customWidth="1"/>
    <col min="5" max="5" width="11.77734375" style="1" bestFit="1" customWidth="1"/>
    <col min="6" max="6" width="12.33203125" style="1" bestFit="1" customWidth="1"/>
    <col min="7" max="7" width="15.44140625" style="1" bestFit="1" customWidth="1"/>
    <col min="8" max="8" width="18.77734375" style="1" customWidth="1"/>
    <col min="9" max="9" width="11.109375" style="1" bestFit="1" customWidth="1"/>
    <col min="10" max="10" width="12.5546875" style="1" bestFit="1" customWidth="1"/>
    <col min="11" max="11" width="9" style="1" bestFit="1" customWidth="1"/>
    <col min="12" max="12" width="11.5546875" style="1"/>
    <col min="13" max="13" width="14.33203125" style="1" bestFit="1" customWidth="1"/>
    <col min="14" max="14" width="9.5546875" style="1" bestFit="1" customWidth="1"/>
    <col min="15" max="15" width="9.33203125" style="1" bestFit="1" customWidth="1"/>
    <col min="16" max="16" width="9" style="1" bestFit="1" customWidth="1"/>
    <col min="17" max="17" width="10.6640625" style="1" bestFit="1" customWidth="1"/>
    <col min="18" max="18" width="8.5546875" style="1" bestFit="1" customWidth="1"/>
    <col min="19" max="19" width="14" style="1" bestFit="1" customWidth="1"/>
    <col min="20" max="16384" width="11.5546875" style="1"/>
  </cols>
  <sheetData>
    <row r="1" spans="1:19" ht="34.049999999999997" customHeight="1" x14ac:dyDescent="0.3">
      <c r="A1" s="8" t="s">
        <v>2</v>
      </c>
      <c r="B1" s="9"/>
      <c r="C1" s="9"/>
      <c r="D1" s="9"/>
      <c r="E1" s="9"/>
      <c r="F1" s="9"/>
      <c r="G1" s="9"/>
      <c r="H1" s="9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x14ac:dyDescent="0.3">
      <c r="A2" s="10" t="s">
        <v>1</v>
      </c>
      <c r="B2" s="11"/>
      <c r="C2" s="11"/>
      <c r="D2" s="11"/>
      <c r="E2" s="11"/>
      <c r="F2" s="11"/>
      <c r="G2" s="11"/>
      <c r="H2" s="11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 ht="7.9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1:19" x14ac:dyDescent="0.3">
      <c r="A4" s="3" t="s">
        <v>29</v>
      </c>
      <c r="B4" s="4" t="s">
        <v>30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</row>
    <row r="5" spans="1:19" x14ac:dyDescent="0.3">
      <c r="A5" s="3" t="s">
        <v>31</v>
      </c>
      <c r="B5" s="4" t="s">
        <v>32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</row>
    <row r="6" spans="1:19" x14ac:dyDescent="0.3">
      <c r="A6" s="3" t="s">
        <v>33</v>
      </c>
      <c r="B6" s="4">
        <v>30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</row>
    <row r="7" spans="1:19" x14ac:dyDescent="0.3">
      <c r="A7" s="3" t="s">
        <v>34</v>
      </c>
      <c r="B7" s="4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 x14ac:dyDescent="0.3">
      <c r="A8" s="3" t="s">
        <v>35</v>
      </c>
      <c r="B8" s="4">
        <v>70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</row>
    <row r="9" spans="1:19" x14ac:dyDescent="0.3">
      <c r="A9" s="3" t="s">
        <v>36</v>
      </c>
      <c r="B9" s="4">
        <v>175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</row>
    <row r="10" spans="1:19" x14ac:dyDescent="0.3">
      <c r="A10" s="3" t="s">
        <v>37</v>
      </c>
      <c r="B10" s="4">
        <v>178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</row>
    <row r="11" spans="1:19" x14ac:dyDescent="0.3">
      <c r="A11" s="3" t="s">
        <v>38</v>
      </c>
      <c r="B11" s="4">
        <v>3</v>
      </c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</row>
    <row r="12" spans="1:19" x14ac:dyDescent="0.3">
      <c r="A12" s="3" t="s">
        <v>39</v>
      </c>
      <c r="B12" s="4" t="s">
        <v>40</v>
      </c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</row>
    <row r="13" spans="1:19" x14ac:dyDescent="0.3">
      <c r="A13" s="3" t="s">
        <v>41</v>
      </c>
      <c r="B13" s="4">
        <v>0</v>
      </c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</row>
    <row r="14" spans="1:19" x14ac:dyDescent="0.3">
      <c r="A14" s="3" t="s">
        <v>42</v>
      </c>
      <c r="B14" s="4" t="s">
        <v>43</v>
      </c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</row>
    <row r="15" spans="1:19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</row>
    <row r="16" spans="1:19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</row>
    <row r="17" spans="1:19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</row>
    <row r="18" spans="1:19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</row>
    <row r="19" spans="1:19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</row>
    <row r="20" spans="1:19" x14ac:dyDescent="0.3">
      <c r="A20" s="2" t="s">
        <v>29</v>
      </c>
      <c r="B20" s="2" t="s">
        <v>31</v>
      </c>
      <c r="C20" s="2" t="s">
        <v>44</v>
      </c>
      <c r="D20" s="2" t="s">
        <v>45</v>
      </c>
      <c r="E20" s="2" t="s">
        <v>46</v>
      </c>
      <c r="F20" s="2" t="s">
        <v>47</v>
      </c>
      <c r="G20" s="2" t="s">
        <v>48</v>
      </c>
      <c r="H20" s="2" t="s">
        <v>49</v>
      </c>
      <c r="I20" s="2" t="s">
        <v>50</v>
      </c>
      <c r="J20" s="2" t="s">
        <v>51</v>
      </c>
      <c r="K20" s="2" t="s">
        <v>52</v>
      </c>
      <c r="L20" s="2"/>
      <c r="M20" s="2" t="s">
        <v>53</v>
      </c>
      <c r="N20" s="2" t="s">
        <v>29</v>
      </c>
      <c r="O20" s="2" t="s">
        <v>54</v>
      </c>
      <c r="P20" s="2" t="s">
        <v>52</v>
      </c>
      <c r="Q20" s="2" t="s">
        <v>55</v>
      </c>
      <c r="R20" s="2" t="s">
        <v>56</v>
      </c>
      <c r="S20" s="2" t="s">
        <v>57</v>
      </c>
    </row>
  </sheetData>
  <mergeCells count="2">
    <mergeCell ref="A1:H1"/>
    <mergeCell ref="A2:H2"/>
  </mergeCells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72CA2-102F-471D-A162-4D97780E5B84}">
  <sheetPr codeName="Hoja3"/>
  <dimension ref="A1:H8"/>
  <sheetViews>
    <sheetView workbookViewId="0"/>
  </sheetViews>
  <sheetFormatPr baseColWidth="10" defaultRowHeight="14.4" x14ac:dyDescent="0.3"/>
  <cols>
    <col min="1" max="1" width="18.77734375" style="1" customWidth="1"/>
    <col min="2" max="2" width="15.109375" style="1" bestFit="1" customWidth="1"/>
    <col min="3" max="3" width="12" style="1" bestFit="1" customWidth="1"/>
    <col min="4" max="4" width="9.88671875" style="1" bestFit="1" customWidth="1"/>
    <col min="5" max="5" width="9.5546875" style="1" bestFit="1" customWidth="1"/>
    <col min="6" max="6" width="12" style="1" bestFit="1" customWidth="1"/>
    <col min="7" max="8" width="18.77734375" style="1" customWidth="1"/>
    <col min="9" max="16384" width="11.5546875" style="1"/>
  </cols>
  <sheetData>
    <row r="1" spans="1:8" ht="34.049999999999997" customHeight="1" x14ac:dyDescent="0.3">
      <c r="A1" s="8" t="s">
        <v>3</v>
      </c>
      <c r="B1" s="9"/>
      <c r="C1" s="9"/>
      <c r="D1" s="9"/>
      <c r="E1" s="9"/>
      <c r="F1" s="9"/>
      <c r="G1" s="9"/>
      <c r="H1" s="9"/>
    </row>
    <row r="2" spans="1:8" x14ac:dyDescent="0.3">
      <c r="A2" s="10" t="s">
        <v>1</v>
      </c>
      <c r="B2" s="11"/>
      <c r="C2" s="11"/>
      <c r="D2" s="11"/>
      <c r="E2" s="11"/>
      <c r="F2" s="11"/>
      <c r="G2" s="11"/>
      <c r="H2" s="11"/>
    </row>
    <row r="3" spans="1:8" ht="7.95" customHeight="1" x14ac:dyDescent="0.3">
      <c r="A3" s="2"/>
      <c r="B3" s="2"/>
      <c r="C3" s="2"/>
      <c r="D3" s="2"/>
      <c r="E3" s="2"/>
      <c r="F3" s="2"/>
      <c r="G3" s="2"/>
      <c r="H3" s="2"/>
    </row>
    <row r="4" spans="1:8" x14ac:dyDescent="0.3">
      <c r="A4" s="3" t="s">
        <v>58</v>
      </c>
      <c r="B4" s="4" t="s">
        <v>59</v>
      </c>
      <c r="C4" s="2"/>
      <c r="D4" s="2"/>
      <c r="E4" s="2"/>
      <c r="F4" s="2"/>
      <c r="G4" s="2"/>
      <c r="H4" s="2"/>
    </row>
    <row r="5" spans="1:8" x14ac:dyDescent="0.3">
      <c r="A5" s="2"/>
      <c r="B5" s="2"/>
      <c r="C5" s="2"/>
      <c r="D5" s="2"/>
      <c r="E5" s="2"/>
      <c r="F5" s="2"/>
      <c r="G5" s="2"/>
      <c r="H5" s="2"/>
    </row>
    <row r="6" spans="1:8" x14ac:dyDescent="0.3">
      <c r="A6" s="2"/>
      <c r="B6" s="2"/>
      <c r="C6" s="2"/>
      <c r="D6" s="2"/>
      <c r="E6" s="2"/>
      <c r="F6" s="2"/>
      <c r="G6" s="2"/>
      <c r="H6" s="2"/>
    </row>
    <row r="7" spans="1:8" x14ac:dyDescent="0.3">
      <c r="A7" s="2"/>
      <c r="B7" s="2"/>
      <c r="C7" s="2"/>
      <c r="D7" s="2"/>
      <c r="E7" s="2"/>
      <c r="F7" s="2"/>
      <c r="G7" s="2"/>
      <c r="H7" s="2"/>
    </row>
    <row r="8" spans="1:8" x14ac:dyDescent="0.3">
      <c r="A8" s="2" t="s">
        <v>60</v>
      </c>
      <c r="B8" s="2" t="s">
        <v>29</v>
      </c>
      <c r="C8" s="2" t="s">
        <v>61</v>
      </c>
      <c r="D8" s="2" t="s">
        <v>62</v>
      </c>
      <c r="E8" s="2" t="s">
        <v>63</v>
      </c>
      <c r="F8" s="2" t="s">
        <v>64</v>
      </c>
      <c r="G8" s="2"/>
      <c r="H8" s="2"/>
    </row>
  </sheetData>
  <mergeCells count="2">
    <mergeCell ref="A1:H1"/>
    <mergeCell ref="A2:H2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FC9E7-31EC-421E-B153-4429EBADDDD3}">
  <sheetPr codeName="Hoja4"/>
  <dimension ref="A1:H7"/>
  <sheetViews>
    <sheetView workbookViewId="0"/>
  </sheetViews>
  <sheetFormatPr baseColWidth="10" defaultRowHeight="14.4" x14ac:dyDescent="0.3"/>
  <cols>
    <col min="1" max="8" width="18.77734375" style="1" customWidth="1"/>
    <col min="9" max="16384" width="11.5546875" style="1"/>
  </cols>
  <sheetData>
    <row r="1" spans="1:8" ht="34.049999999999997" customHeight="1" x14ac:dyDescent="0.3">
      <c r="A1" s="8" t="s">
        <v>4</v>
      </c>
      <c r="B1" s="9"/>
      <c r="C1" s="9"/>
      <c r="D1" s="9"/>
      <c r="E1" s="9"/>
      <c r="F1" s="9"/>
      <c r="G1" s="9"/>
      <c r="H1" s="9"/>
    </row>
    <row r="2" spans="1:8" x14ac:dyDescent="0.3">
      <c r="A2" s="10" t="s">
        <v>1</v>
      </c>
      <c r="B2" s="11"/>
      <c r="C2" s="11"/>
      <c r="D2" s="11"/>
      <c r="E2" s="11"/>
      <c r="F2" s="11"/>
      <c r="G2" s="11"/>
      <c r="H2" s="11"/>
    </row>
    <row r="3" spans="1:8" ht="7.95" customHeight="1" x14ac:dyDescent="0.3">
      <c r="A3" s="2"/>
      <c r="B3" s="2"/>
      <c r="C3" s="2"/>
      <c r="D3" s="2"/>
      <c r="E3" s="2"/>
      <c r="F3" s="2"/>
      <c r="G3" s="2"/>
      <c r="H3" s="2"/>
    </row>
    <row r="4" spans="1:8" x14ac:dyDescent="0.3">
      <c r="A4" s="3" t="s">
        <v>65</v>
      </c>
      <c r="B4" s="4">
        <v>3</v>
      </c>
      <c r="C4" s="2"/>
      <c r="D4" s="2"/>
      <c r="E4" s="2"/>
      <c r="F4" s="2"/>
      <c r="G4" s="2"/>
      <c r="H4" s="2"/>
    </row>
    <row r="5" spans="1:8" x14ac:dyDescent="0.3">
      <c r="A5" s="3" t="s">
        <v>66</v>
      </c>
      <c r="B5" s="4">
        <v>60</v>
      </c>
      <c r="C5" s="2"/>
      <c r="D5" s="2"/>
      <c r="E5" s="2"/>
      <c r="F5" s="2"/>
      <c r="G5" s="2"/>
      <c r="H5" s="2"/>
    </row>
    <row r="6" spans="1:8" x14ac:dyDescent="0.3">
      <c r="A6" s="3" t="s">
        <v>67</v>
      </c>
      <c r="B6" s="4" t="s">
        <v>68</v>
      </c>
      <c r="C6" s="2"/>
      <c r="D6" s="2"/>
      <c r="E6" s="2"/>
      <c r="F6" s="2"/>
      <c r="G6" s="2"/>
      <c r="H6" s="2"/>
    </row>
    <row r="7" spans="1:8" x14ac:dyDescent="0.3">
      <c r="A7" s="3" t="s">
        <v>69</v>
      </c>
      <c r="B7" s="4">
        <v>24</v>
      </c>
      <c r="C7" s="2"/>
      <c r="D7" s="2"/>
      <c r="E7" s="2"/>
      <c r="F7" s="2"/>
      <c r="G7" s="2"/>
      <c r="H7" s="2"/>
    </row>
  </sheetData>
  <mergeCells count="2">
    <mergeCell ref="A1:H1"/>
    <mergeCell ref="A2:H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43B81-EAAA-40D0-863A-75750933F65B}">
  <sheetPr codeName="Hoja5"/>
  <dimension ref="A1:H10"/>
  <sheetViews>
    <sheetView workbookViewId="0"/>
  </sheetViews>
  <sheetFormatPr baseColWidth="10" defaultRowHeight="14.4" x14ac:dyDescent="0.3"/>
  <cols>
    <col min="1" max="1" width="19.5546875" style="1" bestFit="1" customWidth="1"/>
    <col min="2" max="2" width="12.21875" style="1" bestFit="1" customWidth="1"/>
    <col min="3" max="3" width="13.109375" style="1" bestFit="1" customWidth="1"/>
    <col min="4" max="4" width="11.6640625" style="1" bestFit="1" customWidth="1"/>
    <col min="5" max="5" width="8.5546875" style="1" bestFit="1" customWidth="1"/>
    <col min="6" max="8" width="18.77734375" style="1" customWidth="1"/>
    <col min="9" max="16384" width="11.5546875" style="1"/>
  </cols>
  <sheetData>
    <row r="1" spans="1:8" ht="34.049999999999997" customHeight="1" x14ac:dyDescent="0.3">
      <c r="A1" s="8" t="s">
        <v>5</v>
      </c>
      <c r="B1" s="9"/>
      <c r="C1" s="9"/>
      <c r="D1" s="9"/>
      <c r="E1" s="9"/>
      <c r="F1" s="9"/>
      <c r="G1" s="9"/>
      <c r="H1" s="9"/>
    </row>
    <row r="2" spans="1:8" x14ac:dyDescent="0.3">
      <c r="A2" s="10" t="s">
        <v>1</v>
      </c>
      <c r="B2" s="11"/>
      <c r="C2" s="11"/>
      <c r="D2" s="11"/>
      <c r="E2" s="11"/>
      <c r="F2" s="11"/>
      <c r="G2" s="11"/>
      <c r="H2" s="11"/>
    </row>
    <row r="3" spans="1:8" ht="7.95" customHeight="1" x14ac:dyDescent="0.3">
      <c r="A3" s="2"/>
      <c r="B3" s="2"/>
      <c r="C3" s="2"/>
      <c r="D3" s="2"/>
      <c r="E3" s="2"/>
      <c r="F3" s="2"/>
      <c r="G3" s="2"/>
      <c r="H3" s="2"/>
    </row>
    <row r="4" spans="1:8" x14ac:dyDescent="0.3">
      <c r="A4" s="3" t="s">
        <v>70</v>
      </c>
      <c r="B4" s="4" t="s">
        <v>71</v>
      </c>
      <c r="C4" s="2"/>
      <c r="D4" s="2"/>
      <c r="E4" s="2"/>
      <c r="F4" s="2"/>
      <c r="G4" s="2"/>
      <c r="H4" s="2"/>
    </row>
    <row r="5" spans="1:8" x14ac:dyDescent="0.3">
      <c r="A5" s="3" t="s">
        <v>72</v>
      </c>
      <c r="B5" s="4" t="b">
        <v>1</v>
      </c>
      <c r="C5" s="2"/>
      <c r="D5" s="2"/>
      <c r="E5" s="2"/>
      <c r="F5" s="2"/>
      <c r="G5" s="2"/>
      <c r="H5" s="2"/>
    </row>
    <row r="6" spans="1:8" x14ac:dyDescent="0.3">
      <c r="A6" s="2"/>
      <c r="B6" s="2"/>
      <c r="C6" s="2"/>
      <c r="D6" s="2"/>
      <c r="E6" s="2"/>
      <c r="F6" s="2"/>
      <c r="G6" s="2"/>
      <c r="H6" s="2"/>
    </row>
    <row r="7" spans="1:8" x14ac:dyDescent="0.3">
      <c r="A7" s="2"/>
      <c r="B7" s="2"/>
      <c r="C7" s="2"/>
      <c r="D7" s="2"/>
      <c r="E7" s="2"/>
      <c r="F7" s="2"/>
      <c r="G7" s="2"/>
      <c r="H7" s="2"/>
    </row>
    <row r="8" spans="1:8" x14ac:dyDescent="0.3">
      <c r="A8" s="2"/>
      <c r="B8" s="2"/>
      <c r="C8" s="2"/>
      <c r="D8" s="2"/>
      <c r="E8" s="2"/>
      <c r="F8" s="2"/>
      <c r="G8" s="2"/>
      <c r="H8" s="2"/>
    </row>
    <row r="9" spans="1:8" x14ac:dyDescent="0.3">
      <c r="A9" s="2"/>
      <c r="B9" s="2"/>
      <c r="C9" s="2"/>
      <c r="D9" s="2"/>
      <c r="E9" s="2"/>
      <c r="F9" s="2"/>
      <c r="G9" s="2"/>
      <c r="H9" s="2"/>
    </row>
    <row r="10" spans="1:8" x14ac:dyDescent="0.3">
      <c r="A10" s="2" t="s">
        <v>73</v>
      </c>
      <c r="B10" s="2" t="s">
        <v>29</v>
      </c>
      <c r="C10" s="2" t="s">
        <v>74</v>
      </c>
      <c r="D10" s="2" t="s">
        <v>75</v>
      </c>
      <c r="E10" s="2" t="s">
        <v>56</v>
      </c>
      <c r="F10" s="2"/>
      <c r="G10" s="2"/>
      <c r="H10" s="2"/>
    </row>
  </sheetData>
  <mergeCells count="2">
    <mergeCell ref="A1:H1"/>
    <mergeCell ref="A2:H2"/>
  </mergeCell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4E4F8-DD59-4AFF-856F-67C817667B33}">
  <sheetPr codeName="Hoja6"/>
  <dimension ref="A1:H8"/>
  <sheetViews>
    <sheetView workbookViewId="0"/>
  </sheetViews>
  <sheetFormatPr baseColWidth="10" defaultRowHeight="14.4" x14ac:dyDescent="0.3"/>
  <cols>
    <col min="1" max="8" width="18.77734375" style="1" customWidth="1"/>
    <col min="9" max="16384" width="11.5546875" style="1"/>
  </cols>
  <sheetData>
    <row r="1" spans="1:8" ht="34.049999999999997" customHeight="1" x14ac:dyDescent="0.3">
      <c r="A1" s="8" t="s">
        <v>6</v>
      </c>
      <c r="B1" s="9"/>
      <c r="C1" s="9"/>
      <c r="D1" s="9"/>
      <c r="E1" s="9"/>
      <c r="F1" s="9"/>
      <c r="G1" s="9"/>
      <c r="H1" s="9"/>
    </row>
    <row r="2" spans="1:8" x14ac:dyDescent="0.3">
      <c r="A2" s="10" t="s">
        <v>1</v>
      </c>
      <c r="B2" s="11"/>
      <c r="C2" s="11"/>
      <c r="D2" s="11"/>
      <c r="E2" s="11"/>
      <c r="F2" s="11"/>
      <c r="G2" s="11"/>
      <c r="H2" s="11"/>
    </row>
    <row r="3" spans="1:8" ht="7.95" customHeight="1" x14ac:dyDescent="0.3">
      <c r="A3" s="2"/>
      <c r="B3" s="2"/>
      <c r="C3" s="2"/>
      <c r="D3" s="2"/>
      <c r="E3" s="2"/>
      <c r="F3" s="2"/>
      <c r="G3" s="2"/>
      <c r="H3" s="2"/>
    </row>
    <row r="4" spans="1:8" x14ac:dyDescent="0.3">
      <c r="A4" s="3" t="s">
        <v>76</v>
      </c>
      <c r="B4" s="4" t="s">
        <v>77</v>
      </c>
      <c r="C4" s="2"/>
      <c r="D4" s="2"/>
      <c r="E4" s="2"/>
      <c r="F4" s="2"/>
      <c r="G4" s="2"/>
      <c r="H4" s="2"/>
    </row>
    <row r="5" spans="1:8" x14ac:dyDescent="0.3">
      <c r="A5" s="3" t="s">
        <v>78</v>
      </c>
      <c r="B5" s="4"/>
      <c r="C5" s="2"/>
      <c r="D5" s="2"/>
      <c r="E5" s="2"/>
      <c r="F5" s="2"/>
      <c r="G5" s="2"/>
      <c r="H5" s="2"/>
    </row>
    <row r="6" spans="1:8" x14ac:dyDescent="0.3">
      <c r="A6" s="3" t="s">
        <v>79</v>
      </c>
      <c r="B6" s="4" t="s">
        <v>80</v>
      </c>
      <c r="C6" s="2"/>
      <c r="D6" s="2"/>
      <c r="E6" s="2"/>
      <c r="F6" s="2"/>
      <c r="G6" s="2"/>
      <c r="H6" s="2"/>
    </row>
    <row r="7" spans="1:8" x14ac:dyDescent="0.3">
      <c r="A7" s="3" t="s">
        <v>81</v>
      </c>
      <c r="B7" s="4" t="s">
        <v>82</v>
      </c>
      <c r="C7" s="2"/>
      <c r="D7" s="2"/>
      <c r="E7" s="2"/>
      <c r="F7" s="2"/>
      <c r="G7" s="2"/>
      <c r="H7" s="2"/>
    </row>
    <row r="8" spans="1:8" x14ac:dyDescent="0.3">
      <c r="A8" s="3" t="s">
        <v>83</v>
      </c>
      <c r="B8" s="4"/>
      <c r="C8" s="2"/>
      <c r="D8" s="2"/>
      <c r="E8" s="2"/>
      <c r="F8" s="2"/>
      <c r="G8" s="2"/>
      <c r="H8" s="2"/>
    </row>
  </sheetData>
  <mergeCells count="2">
    <mergeCell ref="A1:H1"/>
    <mergeCell ref="A2:H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21BE7-270E-4748-BAED-99CB3CE01277}">
  <sheetPr codeName="Hoja7"/>
  <dimension ref="A1:AC7"/>
  <sheetViews>
    <sheetView workbookViewId="0"/>
  </sheetViews>
  <sheetFormatPr baseColWidth="10" defaultRowHeight="14.4" x14ac:dyDescent="0.3"/>
  <cols>
    <col min="1" max="1" width="9.21875" style="1" bestFit="1" customWidth="1"/>
    <col min="2" max="2" width="9.5546875" style="1" bestFit="1" customWidth="1"/>
    <col min="3" max="3" width="12.5546875" style="1" bestFit="1" customWidth="1"/>
    <col min="4" max="4" width="9" style="1" bestFit="1" customWidth="1"/>
    <col min="5" max="5" width="26.88671875" style="1" bestFit="1" customWidth="1"/>
    <col min="6" max="6" width="19.33203125" style="1" bestFit="1" customWidth="1"/>
    <col min="7" max="7" width="18.77734375" style="1" customWidth="1"/>
    <col min="8" max="8" width="12.33203125" style="1" bestFit="1" customWidth="1"/>
    <col min="9" max="9" width="9.21875" style="1" bestFit="1" customWidth="1"/>
    <col min="10" max="10" width="7.5546875" style="1" bestFit="1" customWidth="1"/>
    <col min="11" max="11" width="6.77734375" style="1" bestFit="1" customWidth="1"/>
    <col min="12" max="12" width="12" style="1" bestFit="1" customWidth="1"/>
    <col min="13" max="13" width="17.88671875" style="1" bestFit="1" customWidth="1"/>
    <col min="14" max="14" width="10" style="1" bestFit="1" customWidth="1"/>
    <col min="15" max="15" width="11.5546875" style="1"/>
    <col min="16" max="16" width="20.21875" style="1" bestFit="1" customWidth="1"/>
    <col min="17" max="17" width="12.33203125" style="1" bestFit="1" customWidth="1"/>
    <col min="18" max="18" width="13" style="1" bestFit="1" customWidth="1"/>
    <col min="19" max="19" width="11" style="1" bestFit="1" customWidth="1"/>
    <col min="20" max="20" width="7.21875" style="1" bestFit="1" customWidth="1"/>
    <col min="21" max="21" width="7.77734375" style="1" bestFit="1" customWidth="1"/>
    <col min="22" max="22" width="11.109375" style="1" bestFit="1" customWidth="1"/>
    <col min="23" max="23" width="11" style="1" bestFit="1" customWidth="1"/>
    <col min="24" max="24" width="7.6640625" style="1" bestFit="1" customWidth="1"/>
    <col min="25" max="25" width="7.21875" style="1" bestFit="1" customWidth="1"/>
    <col min="26" max="26" width="15.5546875" style="1" bestFit="1" customWidth="1"/>
    <col min="27" max="27" width="8.5546875" style="1" bestFit="1" customWidth="1"/>
    <col min="28" max="28" width="10" style="1" bestFit="1" customWidth="1"/>
    <col min="29" max="29" width="10.21875" style="1" bestFit="1" customWidth="1"/>
    <col min="30" max="16384" width="11.5546875" style="1"/>
  </cols>
  <sheetData>
    <row r="1" spans="1:29" ht="34.049999999999997" customHeight="1" x14ac:dyDescent="0.3">
      <c r="A1" s="8" t="s">
        <v>7</v>
      </c>
      <c r="B1" s="9"/>
      <c r="C1" s="9"/>
      <c r="D1" s="9"/>
      <c r="E1" s="9"/>
      <c r="F1" s="9"/>
      <c r="G1" s="9"/>
      <c r="H1" s="9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</row>
    <row r="2" spans="1:29" x14ac:dyDescent="0.3">
      <c r="A2" s="10" t="s">
        <v>1</v>
      </c>
      <c r="B2" s="11"/>
      <c r="C2" s="11"/>
      <c r="D2" s="11"/>
      <c r="E2" s="11"/>
      <c r="F2" s="11"/>
      <c r="G2" s="11"/>
      <c r="H2" s="11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7.9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x14ac:dyDescent="0.3">
      <c r="A4" s="2" t="s">
        <v>109</v>
      </c>
      <c r="B4" s="2" t="s">
        <v>29</v>
      </c>
      <c r="C4" s="2" t="s">
        <v>51</v>
      </c>
      <c r="D4" s="2" t="s">
        <v>52</v>
      </c>
      <c r="E4" s="2" t="s">
        <v>110</v>
      </c>
      <c r="F4" s="2" t="s">
        <v>111</v>
      </c>
      <c r="G4" s="2"/>
      <c r="H4" s="2" t="s">
        <v>84</v>
      </c>
      <c r="I4" s="2" t="s">
        <v>109</v>
      </c>
      <c r="J4" s="2" t="s">
        <v>112</v>
      </c>
      <c r="K4" s="2" t="s">
        <v>113</v>
      </c>
      <c r="L4" s="2" t="s">
        <v>61</v>
      </c>
      <c r="M4" s="2" t="s">
        <v>114</v>
      </c>
      <c r="N4" s="2" t="s">
        <v>115</v>
      </c>
      <c r="O4" s="2"/>
      <c r="P4" s="2" t="s">
        <v>116</v>
      </c>
      <c r="Q4" s="2" t="s">
        <v>84</v>
      </c>
      <c r="R4" s="2" t="s">
        <v>117</v>
      </c>
      <c r="S4" s="2" t="s">
        <v>118</v>
      </c>
      <c r="T4" s="2" t="s">
        <v>119</v>
      </c>
      <c r="U4" s="2" t="s">
        <v>94</v>
      </c>
      <c r="V4" s="2" t="s">
        <v>120</v>
      </c>
      <c r="W4" s="2" t="s">
        <v>121</v>
      </c>
      <c r="X4" s="2" t="s">
        <v>122</v>
      </c>
      <c r="Y4" s="2" t="s">
        <v>123</v>
      </c>
      <c r="Z4" s="2" t="s">
        <v>124</v>
      </c>
      <c r="AA4" s="2" t="s">
        <v>56</v>
      </c>
      <c r="AB4" s="2" t="s">
        <v>115</v>
      </c>
      <c r="AC4" s="2" t="s">
        <v>125</v>
      </c>
    </row>
    <row r="5" spans="1:29" x14ac:dyDescent="0.3">
      <c r="A5" s="2" t="s">
        <v>634</v>
      </c>
      <c r="B5" s="2" t="s">
        <v>30</v>
      </c>
      <c r="C5" s="14">
        <v>46271.186678240738</v>
      </c>
      <c r="D5" s="2" t="s">
        <v>649</v>
      </c>
      <c r="E5" s="2" t="s">
        <v>276</v>
      </c>
      <c r="F5" s="2" t="s">
        <v>59</v>
      </c>
      <c r="H5" s="2" t="s">
        <v>651</v>
      </c>
      <c r="I5" s="2" t="s">
        <v>634</v>
      </c>
      <c r="J5" s="6">
        <v>46271</v>
      </c>
      <c r="K5" s="2">
        <v>1</v>
      </c>
      <c r="L5" s="2" t="s">
        <v>59</v>
      </c>
      <c r="M5" s="2">
        <v>25</v>
      </c>
      <c r="N5" s="2" t="s">
        <v>276</v>
      </c>
      <c r="P5" s="2" t="s">
        <v>650</v>
      </c>
      <c r="Q5" s="2" t="s">
        <v>651</v>
      </c>
      <c r="R5" s="2" t="s">
        <v>178</v>
      </c>
      <c r="S5" s="2" t="s">
        <v>179</v>
      </c>
      <c r="T5" s="2">
        <v>3</v>
      </c>
      <c r="U5" s="2">
        <v>6</v>
      </c>
      <c r="V5" s="2"/>
      <c r="W5" s="2"/>
      <c r="X5" s="2"/>
      <c r="Y5" s="2">
        <v>180</v>
      </c>
      <c r="Z5" s="2">
        <v>8</v>
      </c>
      <c r="AA5" s="2" t="s">
        <v>652</v>
      </c>
      <c r="AB5" s="2" t="s">
        <v>276</v>
      </c>
      <c r="AC5" s="2" t="s">
        <v>293</v>
      </c>
    </row>
    <row r="6" spans="1:29" x14ac:dyDescent="0.3">
      <c r="H6" s="2" t="s">
        <v>653</v>
      </c>
      <c r="I6" s="2" t="s">
        <v>634</v>
      </c>
      <c r="J6" s="6">
        <v>46272</v>
      </c>
      <c r="K6" s="2">
        <v>2</v>
      </c>
      <c r="L6" s="2" t="s">
        <v>59</v>
      </c>
      <c r="M6" s="2">
        <v>0</v>
      </c>
      <c r="N6" s="2" t="s">
        <v>276</v>
      </c>
    </row>
    <row r="7" spans="1:29" x14ac:dyDescent="0.3">
      <c r="H7" s="2" t="s">
        <v>654</v>
      </c>
      <c r="I7" s="2" t="s">
        <v>634</v>
      </c>
      <c r="J7" s="6">
        <v>46273</v>
      </c>
      <c r="K7" s="2">
        <v>3</v>
      </c>
      <c r="L7" s="2" t="s">
        <v>59</v>
      </c>
      <c r="M7" s="2">
        <v>0</v>
      </c>
      <c r="N7" s="2" t="s">
        <v>276</v>
      </c>
    </row>
  </sheetData>
  <mergeCells count="2">
    <mergeCell ref="A1:H1"/>
    <mergeCell ref="A2:H2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6DF91-89C2-4953-9373-C189FBA1551C}">
  <sheetPr codeName="Hoja8"/>
  <dimension ref="A1:H4"/>
  <sheetViews>
    <sheetView workbookViewId="0"/>
  </sheetViews>
  <sheetFormatPr baseColWidth="10" defaultRowHeight="14.4" x14ac:dyDescent="0.3"/>
  <cols>
    <col min="1" max="8" width="18.77734375" style="1" customWidth="1"/>
    <col min="9" max="16384" width="11.5546875" style="1"/>
  </cols>
  <sheetData>
    <row r="1" spans="1:8" ht="34.049999999999997" customHeight="1" x14ac:dyDescent="0.3">
      <c r="A1" s="8" t="s">
        <v>8</v>
      </c>
      <c r="B1" s="9"/>
      <c r="C1" s="9"/>
      <c r="D1" s="9"/>
      <c r="E1" s="9"/>
      <c r="F1" s="9"/>
      <c r="G1" s="9"/>
      <c r="H1" s="9"/>
    </row>
    <row r="2" spans="1:8" x14ac:dyDescent="0.3">
      <c r="A2" s="10" t="s">
        <v>1</v>
      </c>
      <c r="B2" s="11"/>
      <c r="C2" s="11"/>
      <c r="D2" s="11"/>
      <c r="E2" s="11"/>
      <c r="F2" s="11"/>
      <c r="G2" s="11"/>
      <c r="H2" s="11"/>
    </row>
    <row r="3" spans="1:8" ht="7.95" customHeight="1" x14ac:dyDescent="0.3">
      <c r="A3" s="2"/>
      <c r="B3" s="2"/>
      <c r="C3" s="2"/>
      <c r="D3" s="2"/>
      <c r="E3" s="2"/>
      <c r="F3" s="2"/>
      <c r="G3" s="2"/>
      <c r="H3" s="2"/>
    </row>
    <row r="4" spans="1:8" x14ac:dyDescent="0.3">
      <c r="A4" s="2" t="s">
        <v>126</v>
      </c>
      <c r="B4" s="2"/>
      <c r="C4" s="2"/>
      <c r="D4" s="2"/>
      <c r="E4" s="2"/>
      <c r="F4" s="2"/>
      <c r="G4" s="2"/>
      <c r="H4" s="2"/>
    </row>
  </sheetData>
  <mergeCells count="2">
    <mergeCell ref="A1:H1"/>
    <mergeCell ref="A2:H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BAF54-9A2B-48D7-823D-B50A223E52D8}">
  <sheetPr codeName="Hoja9"/>
  <dimension ref="A1:N20"/>
  <sheetViews>
    <sheetView workbookViewId="0"/>
  </sheetViews>
  <sheetFormatPr baseColWidth="10" defaultRowHeight="14.4" x14ac:dyDescent="0.3"/>
  <cols>
    <col min="1" max="1" width="16.21875" style="1" bestFit="1" customWidth="1"/>
    <col min="2" max="2" width="12.33203125" style="1" bestFit="1" customWidth="1"/>
    <col min="3" max="3" width="9" style="1" bestFit="1" customWidth="1"/>
    <col min="4" max="4" width="16.88671875" style="1" bestFit="1" customWidth="1"/>
    <col min="5" max="5" width="6.77734375" style="1" bestFit="1" customWidth="1"/>
    <col min="6" max="6" width="9.88671875" style="1" bestFit="1" customWidth="1"/>
    <col min="7" max="7" width="9.6640625" style="1" bestFit="1" customWidth="1"/>
    <col min="8" max="8" width="7.21875" style="1" bestFit="1" customWidth="1"/>
    <col min="9" max="9" width="12" style="1" bestFit="1" customWidth="1"/>
    <col min="10" max="10" width="12.5546875" style="1" bestFit="1" customWidth="1"/>
    <col min="11" max="12" width="12.44140625" style="1" bestFit="1" customWidth="1"/>
    <col min="13" max="13" width="13.21875" style="1" bestFit="1" customWidth="1"/>
    <col min="14" max="14" width="13.44140625" style="1" bestFit="1" customWidth="1"/>
    <col min="15" max="16384" width="11.5546875" style="1"/>
  </cols>
  <sheetData>
    <row r="1" spans="1:14" ht="34.049999999999997" customHeight="1" x14ac:dyDescent="0.3">
      <c r="A1" s="8" t="s">
        <v>9</v>
      </c>
      <c r="B1" s="9"/>
      <c r="C1" s="9"/>
      <c r="D1" s="9"/>
      <c r="E1" s="9"/>
      <c r="F1" s="9"/>
      <c r="G1" s="9"/>
      <c r="H1" s="9"/>
      <c r="I1" s="2"/>
      <c r="J1" s="2"/>
      <c r="K1" s="2"/>
      <c r="L1" s="2"/>
      <c r="M1" s="2"/>
      <c r="N1" s="2"/>
    </row>
    <row r="2" spans="1:14" x14ac:dyDescent="0.3">
      <c r="A2" s="10" t="s">
        <v>1</v>
      </c>
      <c r="B2" s="11"/>
      <c r="C2" s="11"/>
      <c r="D2" s="11"/>
      <c r="E2" s="11"/>
      <c r="F2" s="11"/>
      <c r="G2" s="11"/>
      <c r="H2" s="11"/>
      <c r="I2" s="2"/>
      <c r="J2" s="2"/>
      <c r="K2" s="2"/>
      <c r="L2" s="2"/>
      <c r="M2" s="2"/>
      <c r="N2" s="2"/>
    </row>
    <row r="3" spans="1:14" ht="7.9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</row>
    <row r="4" spans="1:14" x14ac:dyDescent="0.3">
      <c r="A4" s="3" t="s">
        <v>84</v>
      </c>
      <c r="B4" s="4" t="s">
        <v>85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</row>
    <row r="5" spans="1:14" x14ac:dyDescent="0.3">
      <c r="A5" s="3" t="s">
        <v>86</v>
      </c>
      <c r="B5" s="4" t="s">
        <v>87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</row>
    <row r="6" spans="1:14" x14ac:dyDescent="0.3">
      <c r="A6" s="3" t="s">
        <v>88</v>
      </c>
      <c r="B6" s="4">
        <v>100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</row>
    <row r="7" spans="1:14" x14ac:dyDescent="0.3">
      <c r="A7" s="3" t="s">
        <v>89</v>
      </c>
      <c r="B7" s="4">
        <v>6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</row>
    <row r="8" spans="1:14" x14ac:dyDescent="0.3">
      <c r="A8" s="3" t="s">
        <v>90</v>
      </c>
      <c r="B8" s="4">
        <v>3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</row>
    <row r="9" spans="1:14" x14ac:dyDescent="0.3">
      <c r="A9" s="3" t="s">
        <v>91</v>
      </c>
      <c r="B9" s="4">
        <v>4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</row>
    <row r="10" spans="1:14" x14ac:dyDescent="0.3">
      <c r="A10" s="3" t="s">
        <v>92</v>
      </c>
      <c r="B10" s="4">
        <v>0</v>
      </c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</row>
    <row r="11" spans="1:14" x14ac:dyDescent="0.3">
      <c r="A11" s="3" t="s">
        <v>93</v>
      </c>
      <c r="B11" s="4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</row>
    <row r="12" spans="1:14" x14ac:dyDescent="0.3">
      <c r="A12" s="3" t="s">
        <v>94</v>
      </c>
      <c r="B12" s="4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</row>
    <row r="13" spans="1:14" x14ac:dyDescent="0.3">
      <c r="A13" s="3" t="s">
        <v>95</v>
      </c>
      <c r="B13" s="4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</row>
    <row r="14" spans="1:14" x14ac:dyDescent="0.3">
      <c r="A14" s="3" t="s">
        <v>96</v>
      </c>
      <c r="B14" s="4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</row>
    <row r="15" spans="1:14" x14ac:dyDescent="0.3">
      <c r="A15" s="3" t="s">
        <v>97</v>
      </c>
      <c r="B15" s="4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</row>
    <row r="16" spans="1:14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</row>
    <row r="17" spans="1:14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</row>
    <row r="18" spans="1:14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</row>
    <row r="19" spans="1:14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</row>
    <row r="20" spans="1:14" x14ac:dyDescent="0.3">
      <c r="A20" s="2" t="s">
        <v>98</v>
      </c>
      <c r="B20" s="2" t="s">
        <v>84</v>
      </c>
      <c r="C20" s="2" t="s">
        <v>52</v>
      </c>
      <c r="D20" s="2" t="s">
        <v>99</v>
      </c>
      <c r="E20" s="2" t="s">
        <v>89</v>
      </c>
      <c r="F20" s="2" t="s">
        <v>100</v>
      </c>
      <c r="G20" s="2" t="s">
        <v>101</v>
      </c>
      <c r="H20" s="2" t="s">
        <v>102</v>
      </c>
      <c r="I20" s="2" t="s">
        <v>103</v>
      </c>
      <c r="J20" s="2" t="s">
        <v>104</v>
      </c>
      <c r="K20" s="2" t="s">
        <v>105</v>
      </c>
      <c r="L20" s="2" t="s">
        <v>106</v>
      </c>
      <c r="M20" s="2" t="s">
        <v>107</v>
      </c>
      <c r="N20" s="2" t="s">
        <v>108</v>
      </c>
    </row>
  </sheetData>
  <mergeCells count="2">
    <mergeCell ref="A1:H1"/>
    <mergeCell ref="A2:H2"/>
  </mergeCells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93440-5872-4197-994A-85D3E1525400}">
  <sheetPr codeName="Hoja10"/>
  <dimension ref="A1:H3"/>
  <sheetViews>
    <sheetView workbookViewId="0"/>
  </sheetViews>
  <sheetFormatPr baseColWidth="10" defaultRowHeight="14.4" x14ac:dyDescent="0.3"/>
  <cols>
    <col min="1" max="8" width="18.77734375" style="1" customWidth="1"/>
    <col min="9" max="16384" width="11.5546875" style="1"/>
  </cols>
  <sheetData>
    <row r="1" spans="1:8" ht="34.049999999999997" customHeight="1" x14ac:dyDescent="0.3">
      <c r="A1" s="8" t="s">
        <v>10</v>
      </c>
      <c r="B1" s="9"/>
      <c r="C1" s="9"/>
      <c r="D1" s="9"/>
      <c r="E1" s="9"/>
      <c r="F1" s="9"/>
      <c r="G1" s="9"/>
      <c r="H1" s="9"/>
    </row>
    <row r="2" spans="1:8" x14ac:dyDescent="0.3">
      <c r="A2" s="10" t="s">
        <v>1</v>
      </c>
      <c r="B2" s="11"/>
      <c r="C2" s="11"/>
      <c r="D2" s="11"/>
      <c r="E2" s="11"/>
      <c r="F2" s="11"/>
      <c r="G2" s="11"/>
      <c r="H2" s="11"/>
    </row>
    <row r="3" spans="1:8" ht="7.95" customHeight="1" x14ac:dyDescent="0.3">
      <c r="A3" s="2" t="s">
        <v>127</v>
      </c>
      <c r="B3" s="2" t="s">
        <v>128</v>
      </c>
      <c r="C3" s="2"/>
      <c r="D3" s="2"/>
      <c r="E3" s="2"/>
      <c r="F3" s="2"/>
      <c r="G3" s="2"/>
      <c r="H3" s="2"/>
    </row>
  </sheetData>
  <mergeCells count="2">
    <mergeCell ref="A1:H1"/>
    <mergeCell ref="A2:H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15846-A16A-4BE3-BB28-B0B9D826FE7D}">
  <sheetPr codeName="Hoja11"/>
  <dimension ref="A1:AC12"/>
  <sheetViews>
    <sheetView workbookViewId="0"/>
  </sheetViews>
  <sheetFormatPr baseColWidth="10" defaultRowHeight="14.4" x14ac:dyDescent="0.3"/>
  <cols>
    <col min="1" max="1" width="18.44140625" style="1" bestFit="1" customWidth="1"/>
    <col min="2" max="2" width="36.6640625" style="1" bestFit="1" customWidth="1"/>
    <col min="3" max="3" width="15.109375" style="1" bestFit="1" customWidth="1"/>
    <col min="4" max="4" width="16.44140625" style="1" bestFit="1" customWidth="1"/>
    <col min="5" max="5" width="24.88671875" style="1" bestFit="1" customWidth="1"/>
    <col min="6" max="6" width="11.33203125" style="1" bestFit="1" customWidth="1"/>
    <col min="7" max="7" width="11.77734375" style="1" bestFit="1" customWidth="1"/>
    <col min="8" max="8" width="11.109375" style="1" bestFit="1" customWidth="1"/>
    <col min="9" max="9" width="13.109375" style="1" bestFit="1" customWidth="1"/>
    <col min="10" max="10" width="12.21875" style="1" bestFit="1" customWidth="1"/>
    <col min="11" max="11" width="15.5546875" style="1" bestFit="1" customWidth="1"/>
    <col min="12" max="12" width="18.33203125" style="1" bestFit="1" customWidth="1"/>
    <col min="13" max="13" width="10.5546875" style="1" bestFit="1" customWidth="1"/>
    <col min="14" max="14" width="11" style="1" bestFit="1" customWidth="1"/>
    <col min="15" max="15" width="11.109375" style="1" bestFit="1" customWidth="1"/>
    <col min="16" max="16" width="11.5546875" style="1"/>
    <col min="17" max="17" width="11.109375" style="1" bestFit="1" customWidth="1"/>
    <col min="18" max="18" width="15.33203125" style="1" bestFit="1" customWidth="1"/>
    <col min="19" max="19" width="6.77734375" style="1" bestFit="1" customWidth="1"/>
    <col min="20" max="20" width="6.21875" style="1" bestFit="1" customWidth="1"/>
    <col min="21" max="21" width="7.21875" style="1" bestFit="1" customWidth="1"/>
    <col min="22" max="22" width="12.88671875" style="1" bestFit="1" customWidth="1"/>
    <col min="23" max="23" width="18" style="1" bestFit="1" customWidth="1"/>
    <col min="24" max="24" width="17.21875" style="1" bestFit="1" customWidth="1"/>
    <col min="25" max="25" width="28" style="1" bestFit="1" customWidth="1"/>
    <col min="26" max="26" width="13.5546875" style="1" bestFit="1" customWidth="1"/>
    <col min="27" max="27" width="18.21875" style="1" bestFit="1" customWidth="1"/>
    <col min="28" max="28" width="44.21875" style="1" bestFit="1" customWidth="1"/>
    <col min="29" max="29" width="19.77734375" style="1" bestFit="1" customWidth="1"/>
    <col min="30" max="16384" width="11.5546875" style="1"/>
  </cols>
  <sheetData>
    <row r="1" spans="1:29" ht="34.049999999999997" customHeight="1" x14ac:dyDescent="0.3">
      <c r="A1" s="8" t="s">
        <v>11</v>
      </c>
      <c r="B1" s="9"/>
      <c r="C1" s="9"/>
      <c r="D1" s="9"/>
      <c r="E1" s="9"/>
      <c r="F1" s="9"/>
      <c r="G1" s="9"/>
      <c r="H1" s="9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</row>
    <row r="2" spans="1:29" x14ac:dyDescent="0.3">
      <c r="A2" s="10" t="s">
        <v>1</v>
      </c>
      <c r="B2" s="11"/>
      <c r="C2" s="11"/>
      <c r="D2" s="11"/>
      <c r="E2" s="11"/>
      <c r="F2" s="11"/>
      <c r="G2" s="11"/>
      <c r="H2" s="11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</row>
    <row r="3" spans="1:29" ht="7.9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</row>
    <row r="4" spans="1:29" x14ac:dyDescent="0.3">
      <c r="A4" s="2" t="s">
        <v>117</v>
      </c>
      <c r="B4" s="2" t="s">
        <v>129</v>
      </c>
      <c r="C4" s="2" t="s">
        <v>130</v>
      </c>
      <c r="D4" s="2" t="s">
        <v>131</v>
      </c>
      <c r="E4" s="2" t="s">
        <v>61</v>
      </c>
      <c r="F4" s="2" t="s">
        <v>132</v>
      </c>
      <c r="G4" s="2" t="s">
        <v>133</v>
      </c>
      <c r="H4" s="2" t="s">
        <v>50</v>
      </c>
      <c r="I4" s="2" t="s">
        <v>74</v>
      </c>
      <c r="J4" s="2" t="s">
        <v>134</v>
      </c>
      <c r="K4" s="2" t="s">
        <v>135</v>
      </c>
      <c r="L4" s="2" t="s">
        <v>136</v>
      </c>
      <c r="M4" s="2" t="s">
        <v>137</v>
      </c>
      <c r="N4" s="2" t="s">
        <v>138</v>
      </c>
      <c r="O4" s="2" t="s">
        <v>139</v>
      </c>
      <c r="P4" s="2" t="s">
        <v>140</v>
      </c>
      <c r="Q4" s="2" t="s">
        <v>120</v>
      </c>
      <c r="R4" s="2" t="s">
        <v>141</v>
      </c>
      <c r="S4" s="2" t="s">
        <v>89</v>
      </c>
      <c r="T4" s="2" t="s">
        <v>142</v>
      </c>
      <c r="U4" s="2" t="s">
        <v>123</v>
      </c>
      <c r="V4" s="2" t="s">
        <v>143</v>
      </c>
      <c r="W4" s="2" t="s">
        <v>144</v>
      </c>
      <c r="X4" s="2" t="s">
        <v>145</v>
      </c>
      <c r="Y4" s="2" t="s">
        <v>146</v>
      </c>
      <c r="Z4" s="2" t="s">
        <v>147</v>
      </c>
      <c r="AA4" s="2" t="s">
        <v>148</v>
      </c>
      <c r="AB4" s="2" t="s">
        <v>56</v>
      </c>
      <c r="AC4" s="2" t="s">
        <v>149</v>
      </c>
    </row>
    <row r="5" spans="1:29" x14ac:dyDescent="0.3">
      <c r="A5" s="2" t="s">
        <v>150</v>
      </c>
      <c r="B5" s="2" t="s">
        <v>151</v>
      </c>
      <c r="C5" s="2" t="s">
        <v>152</v>
      </c>
      <c r="D5" s="2" t="s">
        <v>153</v>
      </c>
      <c r="E5" s="2" t="s">
        <v>152</v>
      </c>
      <c r="F5" s="2" t="s">
        <v>154</v>
      </c>
      <c r="G5" s="2" t="s">
        <v>155</v>
      </c>
      <c r="H5" s="2" t="s">
        <v>40</v>
      </c>
      <c r="I5" s="2" t="s">
        <v>156</v>
      </c>
      <c r="J5" s="2" t="s">
        <v>157</v>
      </c>
      <c r="K5" s="2" t="s">
        <v>158</v>
      </c>
      <c r="L5" s="2" t="s">
        <v>159</v>
      </c>
      <c r="M5" s="2">
        <v>1</v>
      </c>
      <c r="N5" s="2">
        <v>1</v>
      </c>
      <c r="O5" s="2">
        <v>0</v>
      </c>
      <c r="P5" s="2">
        <v>0</v>
      </c>
      <c r="Q5" s="2">
        <v>20</v>
      </c>
      <c r="R5" s="2" t="s">
        <v>89</v>
      </c>
      <c r="S5" s="2">
        <v>4</v>
      </c>
      <c r="T5" s="2">
        <v>4</v>
      </c>
      <c r="U5" s="2">
        <v>0</v>
      </c>
      <c r="V5" s="5">
        <v>46057</v>
      </c>
      <c r="W5" s="2" t="s">
        <v>160</v>
      </c>
      <c r="X5" s="2" t="s">
        <v>161</v>
      </c>
      <c r="Y5" s="2" t="s">
        <v>162</v>
      </c>
      <c r="Z5" s="2" t="s">
        <v>163</v>
      </c>
      <c r="AA5" s="2" t="s">
        <v>164</v>
      </c>
      <c r="AB5" s="2" t="s">
        <v>165</v>
      </c>
      <c r="AC5" s="2">
        <v>20</v>
      </c>
    </row>
    <row r="6" spans="1:29" x14ac:dyDescent="0.3">
      <c r="A6" s="2" t="s">
        <v>166</v>
      </c>
      <c r="B6" s="2" t="s">
        <v>167</v>
      </c>
      <c r="C6" s="2" t="s">
        <v>168</v>
      </c>
      <c r="D6" s="2" t="s">
        <v>169</v>
      </c>
      <c r="E6" s="2" t="s">
        <v>168</v>
      </c>
      <c r="F6" s="2" t="s">
        <v>170</v>
      </c>
      <c r="G6" s="2" t="s">
        <v>155</v>
      </c>
      <c r="H6" s="2" t="s">
        <v>171</v>
      </c>
      <c r="I6" s="2" t="s">
        <v>156</v>
      </c>
      <c r="J6" s="2" t="s">
        <v>172</v>
      </c>
      <c r="K6" s="2" t="s">
        <v>173</v>
      </c>
      <c r="L6" s="2" t="s">
        <v>174</v>
      </c>
      <c r="M6" s="2">
        <v>3</v>
      </c>
      <c r="N6" s="2">
        <v>6</v>
      </c>
      <c r="O6" s="2">
        <v>2</v>
      </c>
      <c r="P6" s="2">
        <v>5</v>
      </c>
      <c r="Q6" s="2">
        <v>0</v>
      </c>
      <c r="R6" s="2" t="s">
        <v>89</v>
      </c>
      <c r="S6" s="2">
        <v>9</v>
      </c>
      <c r="T6" s="2">
        <v>2</v>
      </c>
      <c r="U6" s="2">
        <v>180</v>
      </c>
      <c r="V6" s="5">
        <v>46024</v>
      </c>
      <c r="W6" s="2" t="s">
        <v>160</v>
      </c>
      <c r="X6" s="2" t="s">
        <v>161</v>
      </c>
      <c r="Y6" s="2" t="s">
        <v>175</v>
      </c>
      <c r="Z6" s="2" t="s">
        <v>163</v>
      </c>
      <c r="AA6" s="2" t="s">
        <v>176</v>
      </c>
      <c r="AB6" s="2" t="s">
        <v>177</v>
      </c>
      <c r="AC6" s="2">
        <v>30</v>
      </c>
    </row>
    <row r="7" spans="1:29" x14ac:dyDescent="0.3">
      <c r="A7" s="2" t="s">
        <v>178</v>
      </c>
      <c r="B7" s="2" t="s">
        <v>179</v>
      </c>
      <c r="C7" s="2" t="s">
        <v>59</v>
      </c>
      <c r="D7" s="2" t="s">
        <v>180</v>
      </c>
      <c r="E7" s="2" t="s">
        <v>59</v>
      </c>
      <c r="F7" s="2" t="s">
        <v>170</v>
      </c>
      <c r="G7" s="2" t="s">
        <v>155</v>
      </c>
      <c r="H7" s="2" t="s">
        <v>40</v>
      </c>
      <c r="I7" s="2" t="s">
        <v>71</v>
      </c>
      <c r="J7" s="2" t="s">
        <v>172</v>
      </c>
      <c r="K7" s="2" t="s">
        <v>181</v>
      </c>
      <c r="L7" s="2" t="s">
        <v>182</v>
      </c>
      <c r="M7" s="2">
        <v>3</v>
      </c>
      <c r="N7" s="2">
        <v>5</v>
      </c>
      <c r="O7" s="2">
        <v>1</v>
      </c>
      <c r="P7" s="2">
        <v>1</v>
      </c>
      <c r="Q7" s="2">
        <v>10</v>
      </c>
      <c r="R7" s="2" t="s">
        <v>89</v>
      </c>
      <c r="S7" s="2">
        <v>8</v>
      </c>
      <c r="T7" s="2">
        <v>2</v>
      </c>
      <c r="U7" s="2">
        <v>180</v>
      </c>
      <c r="V7" s="5">
        <v>46024</v>
      </c>
      <c r="W7" s="2" t="s">
        <v>160</v>
      </c>
      <c r="X7" s="2" t="s">
        <v>161</v>
      </c>
      <c r="Y7" s="2" t="s">
        <v>183</v>
      </c>
      <c r="Z7" s="2" t="s">
        <v>184</v>
      </c>
      <c r="AA7" s="2" t="s">
        <v>185</v>
      </c>
      <c r="AB7" s="2" t="s">
        <v>186</v>
      </c>
      <c r="AC7" s="2">
        <v>25</v>
      </c>
    </row>
    <row r="8" spans="1:29" x14ac:dyDescent="0.3">
      <c r="A8" s="2" t="s">
        <v>187</v>
      </c>
      <c r="B8" s="2" t="s">
        <v>188</v>
      </c>
      <c r="C8" s="2" t="s">
        <v>189</v>
      </c>
      <c r="D8" s="2" t="s">
        <v>190</v>
      </c>
      <c r="E8" s="2" t="s">
        <v>191</v>
      </c>
      <c r="F8" s="2" t="s">
        <v>154</v>
      </c>
      <c r="G8" s="2" t="s">
        <v>155</v>
      </c>
      <c r="H8" s="2" t="s">
        <v>40</v>
      </c>
      <c r="I8" s="2" t="s">
        <v>192</v>
      </c>
      <c r="J8" s="2" t="s">
        <v>193</v>
      </c>
      <c r="K8" s="2" t="s">
        <v>194</v>
      </c>
      <c r="L8" s="2" t="s">
        <v>195</v>
      </c>
      <c r="M8" s="2">
        <v>2</v>
      </c>
      <c r="N8" s="2">
        <v>4</v>
      </c>
      <c r="O8" s="2">
        <v>4</v>
      </c>
      <c r="P8" s="2">
        <v>10</v>
      </c>
      <c r="Q8" s="2">
        <v>0</v>
      </c>
      <c r="R8" s="2" t="s">
        <v>89</v>
      </c>
      <c r="S8" s="2">
        <v>7</v>
      </c>
      <c r="T8" s="2">
        <v>3</v>
      </c>
      <c r="U8" s="2">
        <v>150</v>
      </c>
      <c r="V8" s="5">
        <v>46024</v>
      </c>
      <c r="W8" s="2" t="s">
        <v>160</v>
      </c>
      <c r="X8" s="2" t="s">
        <v>161</v>
      </c>
      <c r="Y8" s="2" t="s">
        <v>196</v>
      </c>
      <c r="Z8" s="2" t="s">
        <v>197</v>
      </c>
      <c r="AA8" s="2" t="s">
        <v>198</v>
      </c>
      <c r="AB8" s="2" t="s">
        <v>199</v>
      </c>
      <c r="AC8" s="2">
        <v>15</v>
      </c>
    </row>
    <row r="9" spans="1:29" x14ac:dyDescent="0.3">
      <c r="A9" s="2" t="s">
        <v>200</v>
      </c>
      <c r="B9" s="2" t="s">
        <v>201</v>
      </c>
      <c r="C9" s="2" t="s">
        <v>189</v>
      </c>
      <c r="D9" s="2" t="s">
        <v>202</v>
      </c>
      <c r="E9" s="2" t="s">
        <v>203</v>
      </c>
      <c r="F9" s="2" t="s">
        <v>154</v>
      </c>
      <c r="G9" s="2" t="s">
        <v>155</v>
      </c>
      <c r="H9" s="2" t="s">
        <v>40</v>
      </c>
      <c r="I9" s="2" t="s">
        <v>204</v>
      </c>
      <c r="J9" s="2" t="s">
        <v>193</v>
      </c>
      <c r="K9" s="2" t="s">
        <v>194</v>
      </c>
      <c r="L9" s="2" t="s">
        <v>195</v>
      </c>
      <c r="M9" s="2">
        <v>2</v>
      </c>
      <c r="N9" s="2">
        <v>4</v>
      </c>
      <c r="O9" s="2">
        <v>8</v>
      </c>
      <c r="P9" s="2">
        <v>15</v>
      </c>
      <c r="Q9" s="2">
        <v>0</v>
      </c>
      <c r="R9" s="2" t="s">
        <v>89</v>
      </c>
      <c r="S9" s="2">
        <v>6</v>
      </c>
      <c r="T9" s="2">
        <v>4</v>
      </c>
      <c r="U9" s="2">
        <v>90</v>
      </c>
      <c r="V9" s="5">
        <v>46024</v>
      </c>
      <c r="W9" s="2" t="s">
        <v>160</v>
      </c>
      <c r="X9" s="2" t="s">
        <v>161</v>
      </c>
      <c r="Y9" s="2" t="s">
        <v>205</v>
      </c>
      <c r="Z9" s="2" t="s">
        <v>206</v>
      </c>
      <c r="AA9" s="2" t="s">
        <v>207</v>
      </c>
      <c r="AB9" s="2" t="s">
        <v>208</v>
      </c>
      <c r="AC9" s="2">
        <v>12</v>
      </c>
    </row>
    <row r="10" spans="1:29" x14ac:dyDescent="0.3">
      <c r="A10" s="2" t="s">
        <v>209</v>
      </c>
      <c r="B10" s="2" t="s">
        <v>210</v>
      </c>
      <c r="C10" s="2" t="s">
        <v>211</v>
      </c>
      <c r="D10" s="2" t="s">
        <v>212</v>
      </c>
      <c r="E10" s="2" t="s">
        <v>203</v>
      </c>
      <c r="F10" s="2" t="s">
        <v>154</v>
      </c>
      <c r="G10" s="2" t="s">
        <v>155</v>
      </c>
      <c r="H10" s="2" t="s">
        <v>40</v>
      </c>
      <c r="I10" s="2"/>
      <c r="J10" s="2" t="s">
        <v>211</v>
      </c>
      <c r="K10" s="2" t="s">
        <v>194</v>
      </c>
      <c r="L10" s="2" t="s">
        <v>182</v>
      </c>
      <c r="M10" s="2">
        <v>2</v>
      </c>
      <c r="N10" s="2">
        <v>4</v>
      </c>
      <c r="O10" s="2">
        <v>6</v>
      </c>
      <c r="P10" s="2">
        <v>12</v>
      </c>
      <c r="Q10" s="2">
        <v>30</v>
      </c>
      <c r="R10" s="2" t="s">
        <v>89</v>
      </c>
      <c r="S10" s="2">
        <v>6</v>
      </c>
      <c r="T10" s="2">
        <v>4</v>
      </c>
      <c r="U10" s="2">
        <v>60</v>
      </c>
      <c r="V10" s="5">
        <v>46025</v>
      </c>
      <c r="W10" s="2" t="s">
        <v>160</v>
      </c>
      <c r="X10" s="2" t="s">
        <v>161</v>
      </c>
      <c r="Y10" s="2" t="s">
        <v>213</v>
      </c>
      <c r="Z10" s="2" t="s">
        <v>206</v>
      </c>
      <c r="AA10" s="2" t="s">
        <v>214</v>
      </c>
      <c r="AB10" s="2" t="s">
        <v>215</v>
      </c>
      <c r="AC10" s="2">
        <v>10</v>
      </c>
    </row>
    <row r="11" spans="1:29" x14ac:dyDescent="0.3">
      <c r="A11" s="2" t="s">
        <v>216</v>
      </c>
      <c r="B11" s="2" t="s">
        <v>217</v>
      </c>
      <c r="C11" s="2" t="s">
        <v>218</v>
      </c>
      <c r="D11" s="2" t="s">
        <v>219</v>
      </c>
      <c r="E11" s="2" t="s">
        <v>218</v>
      </c>
      <c r="F11" s="2" t="s">
        <v>154</v>
      </c>
      <c r="G11" s="2" t="s">
        <v>155</v>
      </c>
      <c r="H11" s="2" t="s">
        <v>220</v>
      </c>
      <c r="I11" s="2" t="s">
        <v>156</v>
      </c>
      <c r="J11" s="2" t="s">
        <v>221</v>
      </c>
      <c r="K11" s="2" t="s">
        <v>222</v>
      </c>
      <c r="L11" s="2" t="s">
        <v>159</v>
      </c>
      <c r="M11" s="2">
        <v>1</v>
      </c>
      <c r="N11" s="2">
        <v>3</v>
      </c>
      <c r="O11" s="2">
        <v>0</v>
      </c>
      <c r="P11" s="2">
        <v>0</v>
      </c>
      <c r="Q11" s="2">
        <v>15</v>
      </c>
      <c r="R11" s="2" t="s">
        <v>89</v>
      </c>
      <c r="S11" s="2">
        <v>4</v>
      </c>
      <c r="T11" s="2">
        <v>5</v>
      </c>
      <c r="U11" s="2">
        <v>300</v>
      </c>
      <c r="V11" s="5">
        <v>46025</v>
      </c>
      <c r="W11" s="2" t="s">
        <v>160</v>
      </c>
      <c r="X11" s="2" t="s">
        <v>161</v>
      </c>
      <c r="Y11" s="2" t="s">
        <v>162</v>
      </c>
      <c r="Z11" s="2" t="s">
        <v>163</v>
      </c>
      <c r="AA11" s="2" t="s">
        <v>223</v>
      </c>
      <c r="AB11" s="2" t="s">
        <v>224</v>
      </c>
      <c r="AC11" s="2">
        <v>20</v>
      </c>
    </row>
    <row r="12" spans="1:29" x14ac:dyDescent="0.3">
      <c r="A12" s="2" t="s">
        <v>225</v>
      </c>
      <c r="B12" s="2" t="s">
        <v>226</v>
      </c>
      <c r="C12" s="2" t="s">
        <v>227</v>
      </c>
      <c r="D12" s="2" t="s">
        <v>228</v>
      </c>
      <c r="E12" s="2" t="s">
        <v>229</v>
      </c>
      <c r="F12" s="2" t="s">
        <v>154</v>
      </c>
      <c r="G12" s="2" t="s">
        <v>155</v>
      </c>
      <c r="H12" s="2" t="s">
        <v>40</v>
      </c>
      <c r="I12" s="2"/>
      <c r="J12" s="2" t="s">
        <v>157</v>
      </c>
      <c r="K12" s="2" t="s">
        <v>230</v>
      </c>
      <c r="L12" s="2" t="s">
        <v>159</v>
      </c>
      <c r="M12" s="2">
        <v>1</v>
      </c>
      <c r="N12" s="2">
        <v>1</v>
      </c>
      <c r="O12" s="2">
        <v>0</v>
      </c>
      <c r="P12" s="2">
        <v>0</v>
      </c>
      <c r="Q12" s="2">
        <v>15</v>
      </c>
      <c r="R12" s="2" t="s">
        <v>89</v>
      </c>
      <c r="S12" s="2">
        <v>2</v>
      </c>
      <c r="T12" s="2">
        <v>6</v>
      </c>
      <c r="U12" s="2">
        <v>0</v>
      </c>
      <c r="V12" s="5">
        <v>46029</v>
      </c>
      <c r="W12" s="2" t="s">
        <v>160</v>
      </c>
      <c r="X12" s="2" t="s">
        <v>161</v>
      </c>
      <c r="Y12" s="2" t="s">
        <v>231</v>
      </c>
      <c r="Z12" s="2" t="s">
        <v>232</v>
      </c>
      <c r="AA12" s="2" t="s">
        <v>233</v>
      </c>
      <c r="AB12" s="2" t="s">
        <v>234</v>
      </c>
      <c r="AC12" s="2">
        <v>15</v>
      </c>
    </row>
  </sheetData>
  <mergeCells count="2">
    <mergeCell ref="A1:H1"/>
    <mergeCell ref="A2:H2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1F70D-6904-4F3C-911D-66C99183A4B0}">
  <sheetPr codeName="Hoja12"/>
  <dimension ref="A1:M7"/>
  <sheetViews>
    <sheetView workbookViewId="0"/>
  </sheetViews>
  <sheetFormatPr baseColWidth="10" defaultRowHeight="14.4" x14ac:dyDescent="0.3"/>
  <cols>
    <col min="1" max="1" width="14.5546875" style="1" bestFit="1" customWidth="1"/>
    <col min="2" max="2" width="39.6640625" style="1" bestFit="1" customWidth="1"/>
    <col min="3" max="3" width="15.109375" style="1" bestFit="1" customWidth="1"/>
    <col min="4" max="4" width="16.33203125" style="1" bestFit="1" customWidth="1"/>
    <col min="5" max="5" width="13.109375" style="1" bestFit="1" customWidth="1"/>
    <col min="6" max="6" width="13.88671875" style="1" bestFit="1" customWidth="1"/>
    <col min="7" max="7" width="98.44140625" style="1" bestFit="1" customWidth="1"/>
    <col min="8" max="8" width="42.6640625" style="1" bestFit="1" customWidth="1"/>
    <col min="9" max="9" width="20.5546875" style="1" bestFit="1" customWidth="1"/>
    <col min="10" max="10" width="11.6640625" style="1" bestFit="1" customWidth="1"/>
    <col min="11" max="11" width="39.109375" style="1" bestFit="1" customWidth="1"/>
    <col min="12" max="12" width="55.77734375" style="1" bestFit="1" customWidth="1"/>
    <col min="13" max="13" width="52.44140625" style="1" bestFit="1" customWidth="1"/>
    <col min="14" max="16384" width="11.5546875" style="1"/>
  </cols>
  <sheetData>
    <row r="1" spans="1:13" ht="34.049999999999997" customHeight="1" x14ac:dyDescent="0.3">
      <c r="A1" s="8" t="s">
        <v>12</v>
      </c>
      <c r="B1" s="9"/>
      <c r="C1" s="9"/>
      <c r="D1" s="9"/>
      <c r="E1" s="9"/>
      <c r="F1" s="9"/>
      <c r="G1" s="9"/>
      <c r="H1" s="9"/>
      <c r="I1" s="2"/>
      <c r="J1" s="2"/>
      <c r="K1" s="2"/>
      <c r="L1" s="2"/>
      <c r="M1" s="2"/>
    </row>
    <row r="2" spans="1:13" x14ac:dyDescent="0.3">
      <c r="A2" s="10" t="s">
        <v>1</v>
      </c>
      <c r="B2" s="11"/>
      <c r="C2" s="11"/>
      <c r="D2" s="11"/>
      <c r="E2" s="11"/>
      <c r="F2" s="11"/>
      <c r="G2" s="11"/>
      <c r="H2" s="11"/>
      <c r="I2" s="2"/>
      <c r="J2" s="2"/>
      <c r="K2" s="2"/>
      <c r="L2" s="2"/>
      <c r="M2" s="2"/>
    </row>
    <row r="3" spans="1:13" ht="7.9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</row>
    <row r="4" spans="1:13" x14ac:dyDescent="0.3">
      <c r="A4" s="2" t="s">
        <v>76</v>
      </c>
      <c r="B4" s="2" t="s">
        <v>129</v>
      </c>
      <c r="C4" s="2" t="s">
        <v>61</v>
      </c>
      <c r="D4" s="2" t="s">
        <v>235</v>
      </c>
      <c r="E4" s="2" t="s">
        <v>74</v>
      </c>
      <c r="F4" s="2" t="s">
        <v>236</v>
      </c>
      <c r="G4" s="2" t="s">
        <v>237</v>
      </c>
      <c r="H4" s="2" t="s">
        <v>238</v>
      </c>
      <c r="I4" s="2" t="s">
        <v>239</v>
      </c>
      <c r="J4" s="2" t="s">
        <v>240</v>
      </c>
      <c r="K4" s="2" t="s">
        <v>241</v>
      </c>
      <c r="L4" s="2" t="s">
        <v>242</v>
      </c>
      <c r="M4" s="2" t="s">
        <v>243</v>
      </c>
    </row>
    <row r="5" spans="1:13" x14ac:dyDescent="0.3">
      <c r="A5" s="2" t="s">
        <v>77</v>
      </c>
      <c r="B5" s="2" t="s">
        <v>244</v>
      </c>
      <c r="C5" s="2" t="s">
        <v>59</v>
      </c>
      <c r="D5" s="2" t="s">
        <v>170</v>
      </c>
      <c r="E5" s="2" t="s">
        <v>71</v>
      </c>
      <c r="F5" s="2" t="s">
        <v>80</v>
      </c>
      <c r="G5" s="2" t="s">
        <v>245</v>
      </c>
      <c r="H5" s="2" t="s">
        <v>246</v>
      </c>
      <c r="I5" s="2" t="s">
        <v>172</v>
      </c>
      <c r="J5" s="2" t="s">
        <v>247</v>
      </c>
      <c r="K5" s="2" t="s">
        <v>248</v>
      </c>
      <c r="L5" s="2" t="s">
        <v>249</v>
      </c>
      <c r="M5" s="2" t="s">
        <v>250</v>
      </c>
    </row>
    <row r="6" spans="1:13" x14ac:dyDescent="0.3">
      <c r="A6" s="2" t="s">
        <v>251</v>
      </c>
      <c r="B6" s="2" t="s">
        <v>252</v>
      </c>
      <c r="C6" s="2" t="s">
        <v>59</v>
      </c>
      <c r="D6" s="2" t="s">
        <v>170</v>
      </c>
      <c r="E6" s="2" t="s">
        <v>71</v>
      </c>
      <c r="F6" s="2" t="s">
        <v>182</v>
      </c>
      <c r="G6" s="2" t="s">
        <v>253</v>
      </c>
      <c r="H6" s="2" t="s">
        <v>246</v>
      </c>
      <c r="I6" s="2" t="s">
        <v>172</v>
      </c>
      <c r="J6" s="2" t="s">
        <v>254</v>
      </c>
      <c r="K6" s="2" t="s">
        <v>255</v>
      </c>
      <c r="L6" s="2" t="s">
        <v>256</v>
      </c>
      <c r="M6" s="2" t="s">
        <v>257</v>
      </c>
    </row>
    <row r="7" spans="1:13" x14ac:dyDescent="0.3">
      <c r="A7" s="2" t="s">
        <v>258</v>
      </c>
      <c r="B7" s="2" t="s">
        <v>259</v>
      </c>
      <c r="C7" s="2" t="s">
        <v>218</v>
      </c>
      <c r="D7" s="2" t="s">
        <v>154</v>
      </c>
      <c r="E7" s="2" t="s">
        <v>156</v>
      </c>
      <c r="F7" s="2" t="s">
        <v>260</v>
      </c>
      <c r="G7" s="2" t="s">
        <v>261</v>
      </c>
      <c r="H7" s="2" t="s">
        <v>262</v>
      </c>
      <c r="I7" s="2" t="s">
        <v>263</v>
      </c>
      <c r="J7" s="2" t="s">
        <v>254</v>
      </c>
      <c r="K7" s="2" t="s">
        <v>264</v>
      </c>
      <c r="L7" s="2" t="s">
        <v>265</v>
      </c>
      <c r="M7" s="2" t="s">
        <v>266</v>
      </c>
    </row>
  </sheetData>
  <mergeCells count="2">
    <mergeCell ref="A1:H1"/>
    <mergeCell ref="A2:H2"/>
  </mergeCell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D5831-602F-44A3-9521-C88926937831}">
  <sheetPr codeName="Hoja13"/>
  <dimension ref="A1:J22"/>
  <sheetViews>
    <sheetView workbookViewId="0"/>
  </sheetViews>
  <sheetFormatPr baseColWidth="10" defaultRowHeight="14.4" x14ac:dyDescent="0.3"/>
  <cols>
    <col min="1" max="1" width="16.88671875" style="1" bestFit="1" customWidth="1"/>
    <col min="2" max="2" width="12.77734375" style="1" bestFit="1" customWidth="1"/>
    <col min="3" max="3" width="14.21875" style="1" bestFit="1" customWidth="1"/>
    <col min="4" max="4" width="9.88671875" style="1" bestFit="1" customWidth="1"/>
    <col min="5" max="5" width="53.33203125" style="1" bestFit="1" customWidth="1"/>
    <col min="6" max="6" width="20.33203125" style="1" bestFit="1" customWidth="1"/>
    <col min="7" max="7" width="17.33203125" style="1" bestFit="1" customWidth="1"/>
    <col min="8" max="8" width="15.44140625" style="1" bestFit="1" customWidth="1"/>
    <col min="9" max="9" width="79.109375" style="1" bestFit="1" customWidth="1"/>
    <col min="10" max="10" width="12.21875" style="1" bestFit="1" customWidth="1"/>
    <col min="11" max="16384" width="11.5546875" style="1"/>
  </cols>
  <sheetData>
    <row r="1" spans="1:10" ht="34.049999999999997" customHeight="1" x14ac:dyDescent="0.3">
      <c r="A1" s="8" t="s">
        <v>13</v>
      </c>
      <c r="B1" s="9"/>
      <c r="C1" s="9"/>
      <c r="D1" s="9"/>
      <c r="E1" s="9"/>
      <c r="F1" s="9"/>
      <c r="G1" s="9"/>
      <c r="H1" s="9"/>
      <c r="I1" s="2"/>
      <c r="J1" s="2"/>
    </row>
    <row r="2" spans="1:10" x14ac:dyDescent="0.3">
      <c r="A2" s="10" t="s">
        <v>1</v>
      </c>
      <c r="B2" s="11"/>
      <c r="C2" s="11"/>
      <c r="D2" s="11"/>
      <c r="E2" s="11"/>
      <c r="F2" s="11"/>
      <c r="G2" s="11"/>
      <c r="H2" s="11"/>
      <c r="I2" s="2"/>
      <c r="J2" s="2"/>
    </row>
    <row r="3" spans="1:10" ht="7.9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</row>
    <row r="4" spans="1:10" x14ac:dyDescent="0.3">
      <c r="A4" s="2" t="s">
        <v>267</v>
      </c>
      <c r="B4" s="2" t="s">
        <v>268</v>
      </c>
      <c r="C4" s="2" t="s">
        <v>269</v>
      </c>
      <c r="D4" s="2" t="s">
        <v>62</v>
      </c>
      <c r="E4" s="2" t="s">
        <v>270</v>
      </c>
      <c r="F4" s="2" t="s">
        <v>271</v>
      </c>
      <c r="G4" s="2" t="s">
        <v>272</v>
      </c>
      <c r="H4" s="2" t="s">
        <v>273</v>
      </c>
      <c r="I4" s="2" t="s">
        <v>274</v>
      </c>
      <c r="J4" s="2" t="s">
        <v>275</v>
      </c>
    </row>
    <row r="5" spans="1:10" x14ac:dyDescent="0.3">
      <c r="A5" s="2" t="s">
        <v>276</v>
      </c>
      <c r="B5" s="2" t="s">
        <v>277</v>
      </c>
      <c r="C5" s="2" t="s">
        <v>278</v>
      </c>
      <c r="D5" s="2">
        <v>1000</v>
      </c>
      <c r="E5" s="2" t="s">
        <v>279</v>
      </c>
      <c r="F5" s="2" t="s">
        <v>280</v>
      </c>
      <c r="G5" s="2" t="s">
        <v>281</v>
      </c>
      <c r="H5" s="2" t="s">
        <v>282</v>
      </c>
      <c r="I5" s="2" t="s">
        <v>283</v>
      </c>
      <c r="J5" s="2" t="b">
        <v>1</v>
      </c>
    </row>
    <row r="6" spans="1:10" x14ac:dyDescent="0.3">
      <c r="A6" s="2" t="s">
        <v>276</v>
      </c>
      <c r="B6" s="2" t="s">
        <v>284</v>
      </c>
      <c r="C6" s="2" t="s">
        <v>278</v>
      </c>
      <c r="D6" s="2">
        <v>999</v>
      </c>
      <c r="E6" s="2" t="s">
        <v>285</v>
      </c>
      <c r="F6" s="2" t="s">
        <v>280</v>
      </c>
      <c r="G6" s="2" t="s">
        <v>281</v>
      </c>
      <c r="H6" s="2" t="s">
        <v>282</v>
      </c>
      <c r="I6" s="2" t="s">
        <v>286</v>
      </c>
      <c r="J6" s="2" t="b">
        <v>1</v>
      </c>
    </row>
    <row r="7" spans="1:10" x14ac:dyDescent="0.3">
      <c r="A7" s="2" t="s">
        <v>276</v>
      </c>
      <c r="B7" s="2" t="s">
        <v>287</v>
      </c>
      <c r="C7" s="2" t="s">
        <v>288</v>
      </c>
      <c r="D7" s="2">
        <v>100</v>
      </c>
      <c r="E7" s="2" t="s">
        <v>289</v>
      </c>
      <c r="F7" s="2" t="s">
        <v>290</v>
      </c>
      <c r="G7" s="2" t="s">
        <v>291</v>
      </c>
      <c r="H7" s="2"/>
      <c r="I7" s="2" t="s">
        <v>292</v>
      </c>
      <c r="J7" s="2" t="b">
        <v>1</v>
      </c>
    </row>
    <row r="8" spans="1:10" x14ac:dyDescent="0.3">
      <c r="A8" s="2" t="s">
        <v>276</v>
      </c>
      <c r="B8" s="2" t="s">
        <v>293</v>
      </c>
      <c r="C8" s="2" t="s">
        <v>288</v>
      </c>
      <c r="D8" s="2">
        <v>90</v>
      </c>
      <c r="E8" s="2" t="s">
        <v>294</v>
      </c>
      <c r="F8" s="2" t="s">
        <v>295</v>
      </c>
      <c r="G8" s="2" t="s">
        <v>281</v>
      </c>
      <c r="H8" s="2"/>
      <c r="I8" s="2" t="s">
        <v>296</v>
      </c>
      <c r="J8" s="2" t="b">
        <v>1</v>
      </c>
    </row>
    <row r="9" spans="1:10" x14ac:dyDescent="0.3">
      <c r="A9" s="2" t="s">
        <v>276</v>
      </c>
      <c r="B9" s="2" t="s">
        <v>297</v>
      </c>
      <c r="C9" s="2" t="s">
        <v>288</v>
      </c>
      <c r="D9" s="2">
        <v>80</v>
      </c>
      <c r="E9" s="2" t="s">
        <v>298</v>
      </c>
      <c r="F9" s="2" t="s">
        <v>290</v>
      </c>
      <c r="G9" s="2" t="s">
        <v>291</v>
      </c>
      <c r="H9" s="2"/>
      <c r="I9" s="2" t="s">
        <v>299</v>
      </c>
      <c r="J9" s="2" t="b">
        <v>1</v>
      </c>
    </row>
    <row r="10" spans="1:10" x14ac:dyDescent="0.3">
      <c r="A10" s="2" t="s">
        <v>276</v>
      </c>
      <c r="B10" s="2" t="s">
        <v>300</v>
      </c>
      <c r="C10" s="2" t="s">
        <v>301</v>
      </c>
      <c r="D10" s="2">
        <v>10</v>
      </c>
      <c r="E10" s="2" t="s">
        <v>302</v>
      </c>
      <c r="F10" s="2" t="s">
        <v>290</v>
      </c>
      <c r="G10" s="2" t="s">
        <v>291</v>
      </c>
      <c r="H10" s="2"/>
      <c r="I10" s="2" t="s">
        <v>303</v>
      </c>
      <c r="J10" s="2" t="b">
        <v>1</v>
      </c>
    </row>
    <row r="11" spans="1:10" x14ac:dyDescent="0.3">
      <c r="A11" s="2" t="s">
        <v>304</v>
      </c>
      <c r="B11" s="2" t="s">
        <v>305</v>
      </c>
      <c r="C11" s="2" t="s">
        <v>278</v>
      </c>
      <c r="D11" s="2">
        <v>1000</v>
      </c>
      <c r="E11" s="2" t="s">
        <v>306</v>
      </c>
      <c r="F11" s="2" t="s">
        <v>280</v>
      </c>
      <c r="G11" s="2" t="s">
        <v>281</v>
      </c>
      <c r="H11" s="2" t="s">
        <v>282</v>
      </c>
      <c r="I11" s="2" t="s">
        <v>307</v>
      </c>
      <c r="J11" s="2" t="b">
        <v>1</v>
      </c>
    </row>
    <row r="12" spans="1:10" x14ac:dyDescent="0.3">
      <c r="A12" s="2" t="s">
        <v>304</v>
      </c>
      <c r="B12" s="2" t="s">
        <v>308</v>
      </c>
      <c r="C12" s="2" t="s">
        <v>278</v>
      </c>
      <c r="D12" s="2">
        <v>990</v>
      </c>
      <c r="E12" s="2" t="s">
        <v>309</v>
      </c>
      <c r="F12" s="2" t="s">
        <v>280</v>
      </c>
      <c r="G12" s="2" t="s">
        <v>281</v>
      </c>
      <c r="H12" s="2" t="s">
        <v>310</v>
      </c>
      <c r="I12" s="2" t="s">
        <v>311</v>
      </c>
      <c r="J12" s="2" t="b">
        <v>1</v>
      </c>
    </row>
    <row r="13" spans="1:10" x14ac:dyDescent="0.3">
      <c r="A13" s="2" t="s">
        <v>304</v>
      </c>
      <c r="B13" s="2" t="s">
        <v>312</v>
      </c>
      <c r="C13" s="2" t="s">
        <v>313</v>
      </c>
      <c r="D13" s="2">
        <v>600</v>
      </c>
      <c r="E13" s="2" t="s">
        <v>314</v>
      </c>
      <c r="F13" s="2" t="s">
        <v>315</v>
      </c>
      <c r="G13" s="2" t="s">
        <v>281</v>
      </c>
      <c r="H13" s="2" t="s">
        <v>184</v>
      </c>
      <c r="I13" s="2" t="s">
        <v>316</v>
      </c>
      <c r="J13" s="2" t="b">
        <v>1</v>
      </c>
    </row>
    <row r="14" spans="1:10" x14ac:dyDescent="0.3">
      <c r="A14" s="2" t="s">
        <v>304</v>
      </c>
      <c r="B14" s="2" t="s">
        <v>317</v>
      </c>
      <c r="C14" s="2" t="s">
        <v>288</v>
      </c>
      <c r="D14" s="2">
        <v>500</v>
      </c>
      <c r="E14" s="2" t="s">
        <v>318</v>
      </c>
      <c r="F14" s="2" t="s">
        <v>295</v>
      </c>
      <c r="G14" s="2" t="s">
        <v>281</v>
      </c>
      <c r="H14" s="2" t="s">
        <v>163</v>
      </c>
      <c r="I14" s="2" t="s">
        <v>319</v>
      </c>
      <c r="J14" s="2" t="b">
        <v>1</v>
      </c>
    </row>
    <row r="15" spans="1:10" x14ac:dyDescent="0.3">
      <c r="A15" s="2" t="s">
        <v>304</v>
      </c>
      <c r="B15" s="2" t="s">
        <v>320</v>
      </c>
      <c r="C15" s="2" t="s">
        <v>288</v>
      </c>
      <c r="D15" s="2">
        <v>480</v>
      </c>
      <c r="E15" s="2" t="s">
        <v>321</v>
      </c>
      <c r="F15" s="2" t="s">
        <v>322</v>
      </c>
      <c r="G15" s="2" t="s">
        <v>323</v>
      </c>
      <c r="H15" s="2" t="s">
        <v>324</v>
      </c>
      <c r="I15" s="2" t="s">
        <v>325</v>
      </c>
      <c r="J15" s="2" t="b">
        <v>1</v>
      </c>
    </row>
    <row r="16" spans="1:10" x14ac:dyDescent="0.3">
      <c r="A16" s="2" t="s">
        <v>304</v>
      </c>
      <c r="B16" s="2" t="s">
        <v>326</v>
      </c>
      <c r="C16" s="2" t="s">
        <v>288</v>
      </c>
      <c r="D16" s="2">
        <v>470</v>
      </c>
      <c r="E16" s="2" t="s">
        <v>327</v>
      </c>
      <c r="F16" s="2" t="s">
        <v>295</v>
      </c>
      <c r="G16" s="2" t="s">
        <v>281</v>
      </c>
      <c r="H16" s="2" t="s">
        <v>206</v>
      </c>
      <c r="I16" s="2" t="s">
        <v>328</v>
      </c>
      <c r="J16" s="2" t="b">
        <v>1</v>
      </c>
    </row>
    <row r="17" spans="1:10" x14ac:dyDescent="0.3">
      <c r="A17" s="2" t="s">
        <v>304</v>
      </c>
      <c r="B17" s="2" t="s">
        <v>329</v>
      </c>
      <c r="C17" s="2" t="s">
        <v>288</v>
      </c>
      <c r="D17" s="2">
        <v>460</v>
      </c>
      <c r="E17" s="2" t="s">
        <v>330</v>
      </c>
      <c r="F17" s="2" t="s">
        <v>322</v>
      </c>
      <c r="G17" s="2" t="s">
        <v>281</v>
      </c>
      <c r="H17" s="2" t="s">
        <v>163</v>
      </c>
      <c r="I17" s="2" t="s">
        <v>331</v>
      </c>
      <c r="J17" s="2" t="b">
        <v>1</v>
      </c>
    </row>
    <row r="18" spans="1:10" x14ac:dyDescent="0.3">
      <c r="A18" s="2" t="s">
        <v>304</v>
      </c>
      <c r="B18" s="2" t="s">
        <v>332</v>
      </c>
      <c r="C18" s="2" t="s">
        <v>288</v>
      </c>
      <c r="D18" s="2">
        <v>400</v>
      </c>
      <c r="E18" s="2" t="s">
        <v>333</v>
      </c>
      <c r="F18" s="2" t="s">
        <v>322</v>
      </c>
      <c r="G18" s="2" t="s">
        <v>281</v>
      </c>
      <c r="H18" s="2" t="s">
        <v>334</v>
      </c>
      <c r="I18" s="2" t="s">
        <v>335</v>
      </c>
      <c r="J18" s="2" t="b">
        <v>1</v>
      </c>
    </row>
    <row r="19" spans="1:10" x14ac:dyDescent="0.3">
      <c r="A19" s="2" t="s">
        <v>304</v>
      </c>
      <c r="B19" s="2" t="s">
        <v>336</v>
      </c>
      <c r="C19" s="2" t="s">
        <v>288</v>
      </c>
      <c r="D19" s="2">
        <v>390</v>
      </c>
      <c r="E19" s="2" t="s">
        <v>337</v>
      </c>
      <c r="F19" s="2" t="s">
        <v>322</v>
      </c>
      <c r="G19" s="2" t="s">
        <v>323</v>
      </c>
      <c r="H19" s="2" t="s">
        <v>338</v>
      </c>
      <c r="I19" s="2" t="s">
        <v>339</v>
      </c>
      <c r="J19" s="2" t="b">
        <v>1</v>
      </c>
    </row>
    <row r="20" spans="1:10" x14ac:dyDescent="0.3">
      <c r="A20" s="2" t="s">
        <v>304</v>
      </c>
      <c r="B20" s="2" t="s">
        <v>340</v>
      </c>
      <c r="C20" s="2" t="s">
        <v>278</v>
      </c>
      <c r="D20" s="2">
        <v>800</v>
      </c>
      <c r="E20" s="2" t="s">
        <v>341</v>
      </c>
      <c r="F20" s="2" t="s">
        <v>280</v>
      </c>
      <c r="G20" s="2" t="s">
        <v>281</v>
      </c>
      <c r="H20" s="2" t="s">
        <v>342</v>
      </c>
      <c r="I20" s="2" t="s">
        <v>343</v>
      </c>
      <c r="J20" s="2" t="b">
        <v>1</v>
      </c>
    </row>
    <row r="21" spans="1:10" x14ac:dyDescent="0.3">
      <c r="A21" s="2" t="s">
        <v>304</v>
      </c>
      <c r="B21" s="2" t="s">
        <v>344</v>
      </c>
      <c r="C21" s="2" t="s">
        <v>301</v>
      </c>
      <c r="D21" s="2">
        <v>100</v>
      </c>
      <c r="E21" s="2" t="s">
        <v>345</v>
      </c>
      <c r="F21" s="2" t="s">
        <v>295</v>
      </c>
      <c r="G21" s="2" t="s">
        <v>281</v>
      </c>
      <c r="H21" s="2" t="s">
        <v>342</v>
      </c>
      <c r="I21" s="2" t="s">
        <v>346</v>
      </c>
      <c r="J21" s="2" t="b">
        <v>1</v>
      </c>
    </row>
    <row r="22" spans="1:10" x14ac:dyDescent="0.3">
      <c r="A22" s="2" t="s">
        <v>304</v>
      </c>
      <c r="B22" s="2" t="s">
        <v>347</v>
      </c>
      <c r="C22" s="2" t="s">
        <v>313</v>
      </c>
      <c r="D22" s="2">
        <v>300</v>
      </c>
      <c r="E22" s="2" t="s">
        <v>348</v>
      </c>
      <c r="F22" s="2" t="s">
        <v>349</v>
      </c>
      <c r="G22" s="2" t="s">
        <v>350</v>
      </c>
      <c r="H22" s="2" t="s">
        <v>247</v>
      </c>
      <c r="I22" s="2" t="s">
        <v>351</v>
      </c>
      <c r="J22" s="2" t="b">
        <v>1</v>
      </c>
    </row>
  </sheetData>
  <mergeCells count="2">
    <mergeCell ref="A1:H1"/>
    <mergeCell ref="A2:H2"/>
  </mergeCell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0005B1-ED0A-46FB-939C-BD2808C9B67B}">
  <sheetPr codeName="Hoja14"/>
  <dimension ref="A1:H30"/>
  <sheetViews>
    <sheetView workbookViewId="0"/>
  </sheetViews>
  <sheetFormatPr baseColWidth="10" defaultRowHeight="14.4" x14ac:dyDescent="0.3"/>
  <cols>
    <col min="1" max="1" width="16.88671875" style="1" bestFit="1" customWidth="1"/>
    <col min="2" max="2" width="14.109375" style="1" bestFit="1" customWidth="1"/>
    <col min="3" max="3" width="12.77734375" style="1" bestFit="1" customWidth="1"/>
    <col min="4" max="4" width="10.88671875" style="1" bestFit="1" customWidth="1"/>
    <col min="5" max="5" width="15.5546875" style="1" bestFit="1" customWidth="1"/>
    <col min="6" max="6" width="11.44140625" style="1" bestFit="1" customWidth="1"/>
    <col min="7" max="7" width="38.88671875" style="1" bestFit="1" customWidth="1"/>
    <col min="8" max="8" width="9.44140625" style="1" bestFit="1" customWidth="1"/>
    <col min="9" max="16384" width="11.5546875" style="1"/>
  </cols>
  <sheetData>
    <row r="1" spans="1:8" ht="34.049999999999997" customHeight="1" x14ac:dyDescent="0.3">
      <c r="A1" s="8" t="s">
        <v>14</v>
      </c>
      <c r="B1" s="9"/>
      <c r="C1" s="9"/>
      <c r="D1" s="9"/>
      <c r="E1" s="9"/>
      <c r="F1" s="9"/>
      <c r="G1" s="9"/>
      <c r="H1" s="9"/>
    </row>
    <row r="2" spans="1:8" x14ac:dyDescent="0.3">
      <c r="A2" s="10" t="s">
        <v>1</v>
      </c>
      <c r="B2" s="11"/>
      <c r="C2" s="11"/>
      <c r="D2" s="11"/>
      <c r="E2" s="11"/>
      <c r="F2" s="11"/>
      <c r="G2" s="11"/>
      <c r="H2" s="11"/>
    </row>
    <row r="3" spans="1:8" ht="7.95" customHeight="1" x14ac:dyDescent="0.3">
      <c r="A3" s="2"/>
      <c r="B3" s="2"/>
      <c r="C3" s="2"/>
      <c r="D3" s="2"/>
      <c r="E3" s="2"/>
      <c r="F3" s="2"/>
      <c r="G3" s="2"/>
      <c r="H3" s="2"/>
    </row>
    <row r="4" spans="1:8" x14ac:dyDescent="0.3">
      <c r="A4" s="2" t="s">
        <v>267</v>
      </c>
      <c r="B4" s="2" t="s">
        <v>352</v>
      </c>
      <c r="C4" s="2" t="s">
        <v>268</v>
      </c>
      <c r="D4" s="2" t="s">
        <v>353</v>
      </c>
      <c r="E4" s="2" t="s">
        <v>354</v>
      </c>
      <c r="F4" s="2" t="s">
        <v>355</v>
      </c>
      <c r="G4" s="2" t="s">
        <v>356</v>
      </c>
      <c r="H4" s="2" t="s">
        <v>357</v>
      </c>
    </row>
    <row r="5" spans="1:8" x14ac:dyDescent="0.3">
      <c r="A5" s="2" t="s">
        <v>276</v>
      </c>
      <c r="B5" s="2" t="s">
        <v>358</v>
      </c>
      <c r="C5" s="2" t="s">
        <v>277</v>
      </c>
      <c r="D5" s="2">
        <v>1</v>
      </c>
      <c r="E5" s="2" t="s">
        <v>359</v>
      </c>
      <c r="F5" s="2" t="s">
        <v>360</v>
      </c>
      <c r="G5" s="2">
        <v>1</v>
      </c>
      <c r="H5" s="2"/>
    </row>
    <row r="6" spans="1:8" x14ac:dyDescent="0.3">
      <c r="A6" s="2" t="s">
        <v>276</v>
      </c>
      <c r="B6" s="2" t="s">
        <v>361</v>
      </c>
      <c r="C6" s="2" t="s">
        <v>284</v>
      </c>
      <c r="D6" s="2">
        <v>1</v>
      </c>
      <c r="E6" s="2" t="s">
        <v>362</v>
      </c>
      <c r="F6" s="2" t="s">
        <v>363</v>
      </c>
      <c r="G6" s="2" t="s">
        <v>364</v>
      </c>
      <c r="H6" s="2"/>
    </row>
    <row r="7" spans="1:8" x14ac:dyDescent="0.3">
      <c r="A7" s="2" t="s">
        <v>276</v>
      </c>
      <c r="B7" s="2" t="s">
        <v>365</v>
      </c>
      <c r="C7" s="2" t="s">
        <v>293</v>
      </c>
      <c r="D7" s="2">
        <v>1</v>
      </c>
      <c r="E7" s="2" t="s">
        <v>111</v>
      </c>
      <c r="F7" s="2" t="s">
        <v>366</v>
      </c>
      <c r="G7" s="2" t="s">
        <v>59</v>
      </c>
      <c r="H7" s="2"/>
    </row>
    <row r="8" spans="1:8" x14ac:dyDescent="0.3">
      <c r="A8" s="2" t="s">
        <v>276</v>
      </c>
      <c r="B8" s="2" t="s">
        <v>367</v>
      </c>
      <c r="C8" s="2" t="s">
        <v>293</v>
      </c>
      <c r="D8" s="2">
        <v>1</v>
      </c>
      <c r="E8" s="2" t="s">
        <v>49</v>
      </c>
      <c r="F8" s="2" t="s">
        <v>360</v>
      </c>
      <c r="G8" s="2">
        <v>2</v>
      </c>
      <c r="H8" s="2"/>
    </row>
    <row r="9" spans="1:8" x14ac:dyDescent="0.3">
      <c r="A9" s="2" t="s">
        <v>276</v>
      </c>
      <c r="B9" s="2" t="s">
        <v>368</v>
      </c>
      <c r="C9" s="2" t="s">
        <v>293</v>
      </c>
      <c r="D9" s="2">
        <v>1</v>
      </c>
      <c r="E9" s="2" t="s">
        <v>74</v>
      </c>
      <c r="F9" s="2" t="s">
        <v>363</v>
      </c>
      <c r="G9" s="2" t="s">
        <v>369</v>
      </c>
      <c r="H9" s="2"/>
    </row>
    <row r="10" spans="1:8" x14ac:dyDescent="0.3">
      <c r="A10" s="2" t="s">
        <v>276</v>
      </c>
      <c r="B10" s="2" t="s">
        <v>370</v>
      </c>
      <c r="C10" s="2" t="s">
        <v>293</v>
      </c>
      <c r="D10" s="2">
        <v>1</v>
      </c>
      <c r="E10" s="2" t="s">
        <v>359</v>
      </c>
      <c r="F10" s="2" t="s">
        <v>366</v>
      </c>
      <c r="G10" s="2">
        <v>0</v>
      </c>
      <c r="H10" s="2"/>
    </row>
    <row r="11" spans="1:8" x14ac:dyDescent="0.3">
      <c r="A11" s="2" t="s">
        <v>276</v>
      </c>
      <c r="B11" s="2" t="s">
        <v>371</v>
      </c>
      <c r="C11" s="2" t="s">
        <v>300</v>
      </c>
      <c r="D11" s="2">
        <v>1</v>
      </c>
      <c r="E11" s="2" t="s">
        <v>372</v>
      </c>
      <c r="F11" s="2" t="s">
        <v>360</v>
      </c>
      <c r="G11" s="2">
        <v>90</v>
      </c>
      <c r="H11" s="2"/>
    </row>
    <row r="12" spans="1:8" x14ac:dyDescent="0.3">
      <c r="A12" s="2" t="s">
        <v>276</v>
      </c>
      <c r="B12" s="2" t="s">
        <v>373</v>
      </c>
      <c r="C12" s="2" t="s">
        <v>300</v>
      </c>
      <c r="D12" s="2">
        <v>1</v>
      </c>
      <c r="E12" s="2" t="s">
        <v>374</v>
      </c>
      <c r="F12" s="2" t="s">
        <v>375</v>
      </c>
      <c r="G12" s="2">
        <v>8</v>
      </c>
      <c r="H12" s="2"/>
    </row>
    <row r="13" spans="1:8" x14ac:dyDescent="0.3">
      <c r="A13" s="2" t="s">
        <v>304</v>
      </c>
      <c r="B13" s="2" t="s">
        <v>358</v>
      </c>
      <c r="C13" s="2" t="s">
        <v>305</v>
      </c>
      <c r="D13" s="2">
        <v>1</v>
      </c>
      <c r="E13" s="2" t="s">
        <v>359</v>
      </c>
      <c r="F13" s="2" t="s">
        <v>360</v>
      </c>
      <c r="G13" s="2">
        <v>1</v>
      </c>
      <c r="H13" s="2"/>
    </row>
    <row r="14" spans="1:8" x14ac:dyDescent="0.3">
      <c r="A14" s="2" t="s">
        <v>304</v>
      </c>
      <c r="B14" s="2" t="s">
        <v>361</v>
      </c>
      <c r="C14" s="2" t="s">
        <v>308</v>
      </c>
      <c r="D14" s="2">
        <v>1</v>
      </c>
      <c r="E14" s="2" t="s">
        <v>362</v>
      </c>
      <c r="F14" s="2" t="s">
        <v>363</v>
      </c>
      <c r="G14" s="2" t="s">
        <v>364</v>
      </c>
      <c r="H14" s="2"/>
    </row>
    <row r="15" spans="1:8" x14ac:dyDescent="0.3">
      <c r="A15" s="2" t="s">
        <v>304</v>
      </c>
      <c r="B15" s="2" t="s">
        <v>365</v>
      </c>
      <c r="C15" s="2" t="s">
        <v>312</v>
      </c>
      <c r="D15" s="2">
        <v>1</v>
      </c>
      <c r="E15" s="2" t="s">
        <v>111</v>
      </c>
      <c r="F15" s="2" t="s">
        <v>363</v>
      </c>
      <c r="G15" s="2" t="s">
        <v>376</v>
      </c>
      <c r="H15" s="2"/>
    </row>
    <row r="16" spans="1:8" x14ac:dyDescent="0.3">
      <c r="A16" s="2" t="s">
        <v>304</v>
      </c>
      <c r="B16" s="2" t="s">
        <v>367</v>
      </c>
      <c r="C16" s="2" t="s">
        <v>312</v>
      </c>
      <c r="D16" s="2">
        <v>1</v>
      </c>
      <c r="E16" s="2" t="s">
        <v>49</v>
      </c>
      <c r="F16" s="2" t="s">
        <v>360</v>
      </c>
      <c r="G16" s="2">
        <v>2</v>
      </c>
      <c r="H16" s="2"/>
    </row>
    <row r="17" spans="1:8" x14ac:dyDescent="0.3">
      <c r="A17" s="2" t="s">
        <v>304</v>
      </c>
      <c r="B17" s="2" t="s">
        <v>368</v>
      </c>
      <c r="C17" s="2" t="s">
        <v>312</v>
      </c>
      <c r="D17" s="2">
        <v>1</v>
      </c>
      <c r="E17" s="2" t="s">
        <v>74</v>
      </c>
      <c r="F17" s="2" t="s">
        <v>363</v>
      </c>
      <c r="G17" s="2" t="s">
        <v>377</v>
      </c>
      <c r="H17" s="2"/>
    </row>
    <row r="18" spans="1:8" x14ac:dyDescent="0.3">
      <c r="A18" s="2" t="s">
        <v>304</v>
      </c>
      <c r="B18" s="2" t="s">
        <v>370</v>
      </c>
      <c r="C18" s="2" t="s">
        <v>312</v>
      </c>
      <c r="D18" s="2">
        <v>1</v>
      </c>
      <c r="E18" s="2" t="s">
        <v>359</v>
      </c>
      <c r="F18" s="2" t="s">
        <v>366</v>
      </c>
      <c r="G18" s="2">
        <v>0</v>
      </c>
      <c r="H18" s="2"/>
    </row>
    <row r="19" spans="1:8" x14ac:dyDescent="0.3">
      <c r="A19" s="2" t="s">
        <v>304</v>
      </c>
      <c r="B19" s="2" t="s">
        <v>371</v>
      </c>
      <c r="C19" s="2" t="s">
        <v>320</v>
      </c>
      <c r="D19" s="2">
        <v>1</v>
      </c>
      <c r="E19" s="2" t="s">
        <v>111</v>
      </c>
      <c r="F19" s="2" t="s">
        <v>363</v>
      </c>
      <c r="G19" s="2" t="s">
        <v>378</v>
      </c>
      <c r="H19" s="2"/>
    </row>
    <row r="20" spans="1:8" x14ac:dyDescent="0.3">
      <c r="A20" s="2" t="s">
        <v>304</v>
      </c>
      <c r="B20" s="2" t="s">
        <v>373</v>
      </c>
      <c r="C20" s="2" t="s">
        <v>326</v>
      </c>
      <c r="D20" s="2">
        <v>1</v>
      </c>
      <c r="E20" s="2" t="s">
        <v>379</v>
      </c>
      <c r="F20" s="2" t="s">
        <v>366</v>
      </c>
      <c r="G20" s="2" t="b">
        <v>1</v>
      </c>
      <c r="H20" s="2"/>
    </row>
    <row r="21" spans="1:8" x14ac:dyDescent="0.3">
      <c r="A21" s="2" t="s">
        <v>304</v>
      </c>
      <c r="B21" s="2" t="s">
        <v>380</v>
      </c>
      <c r="C21" s="2" t="s">
        <v>329</v>
      </c>
      <c r="D21" s="2">
        <v>1</v>
      </c>
      <c r="E21" s="2" t="s">
        <v>50</v>
      </c>
      <c r="F21" s="2" t="s">
        <v>363</v>
      </c>
      <c r="G21" s="2" t="s">
        <v>381</v>
      </c>
      <c r="H21" s="2"/>
    </row>
    <row r="22" spans="1:8" x14ac:dyDescent="0.3">
      <c r="A22" s="2" t="s">
        <v>304</v>
      </c>
      <c r="B22" s="2" t="s">
        <v>382</v>
      </c>
      <c r="C22" s="2" t="s">
        <v>332</v>
      </c>
      <c r="D22" s="2">
        <v>1</v>
      </c>
      <c r="E22" s="2" t="s">
        <v>111</v>
      </c>
      <c r="F22" s="2" t="s">
        <v>363</v>
      </c>
      <c r="G22" s="2" t="s">
        <v>376</v>
      </c>
      <c r="H22" s="2"/>
    </row>
    <row r="23" spans="1:8" x14ac:dyDescent="0.3">
      <c r="A23" s="2" t="s">
        <v>304</v>
      </c>
      <c r="B23" s="2" t="s">
        <v>383</v>
      </c>
      <c r="C23" s="2" t="s">
        <v>340</v>
      </c>
      <c r="D23" s="2">
        <v>1</v>
      </c>
      <c r="E23" s="2" t="s">
        <v>100</v>
      </c>
      <c r="F23" s="2" t="s">
        <v>360</v>
      </c>
      <c r="G23" s="2">
        <v>8</v>
      </c>
      <c r="H23" s="2"/>
    </row>
    <row r="24" spans="1:8" x14ac:dyDescent="0.3">
      <c r="A24" s="2" t="s">
        <v>304</v>
      </c>
      <c r="B24" s="2" t="s">
        <v>384</v>
      </c>
      <c r="C24" s="2" t="s">
        <v>340</v>
      </c>
      <c r="D24" s="2">
        <v>2</v>
      </c>
      <c r="E24" s="2" t="s">
        <v>385</v>
      </c>
      <c r="F24" s="2" t="s">
        <v>360</v>
      </c>
      <c r="G24" s="2">
        <v>3</v>
      </c>
      <c r="H24" s="2"/>
    </row>
    <row r="25" spans="1:8" x14ac:dyDescent="0.3">
      <c r="A25" s="2" t="s">
        <v>304</v>
      </c>
      <c r="B25" s="2" t="s">
        <v>386</v>
      </c>
      <c r="C25" s="2" t="s">
        <v>340</v>
      </c>
      <c r="D25" s="2">
        <v>3</v>
      </c>
      <c r="E25" s="2" t="s">
        <v>372</v>
      </c>
      <c r="F25" s="2" t="s">
        <v>387</v>
      </c>
      <c r="G25" s="2">
        <v>60</v>
      </c>
      <c r="H25" s="2"/>
    </row>
    <row r="26" spans="1:8" x14ac:dyDescent="0.3">
      <c r="A26" s="2" t="s">
        <v>304</v>
      </c>
      <c r="B26" s="2" t="s">
        <v>388</v>
      </c>
      <c r="C26" s="2" t="s">
        <v>344</v>
      </c>
      <c r="D26" s="2">
        <v>1</v>
      </c>
      <c r="E26" s="2" t="s">
        <v>372</v>
      </c>
      <c r="F26" s="2" t="s">
        <v>360</v>
      </c>
      <c r="G26" s="2">
        <v>90</v>
      </c>
      <c r="H26" s="2"/>
    </row>
    <row r="27" spans="1:8" x14ac:dyDescent="0.3">
      <c r="A27" s="2" t="s">
        <v>304</v>
      </c>
      <c r="B27" s="2" t="s">
        <v>389</v>
      </c>
      <c r="C27" s="2" t="s">
        <v>344</v>
      </c>
      <c r="D27" s="2">
        <v>1</v>
      </c>
      <c r="E27" s="2" t="s">
        <v>374</v>
      </c>
      <c r="F27" s="2" t="s">
        <v>375</v>
      </c>
      <c r="G27" s="2">
        <v>8</v>
      </c>
      <c r="H27" s="2"/>
    </row>
    <row r="28" spans="1:8" x14ac:dyDescent="0.3">
      <c r="A28" s="2" t="s">
        <v>304</v>
      </c>
      <c r="B28" s="2" t="s">
        <v>390</v>
      </c>
      <c r="C28" s="2" t="s">
        <v>344</v>
      </c>
      <c r="D28" s="2">
        <v>1</v>
      </c>
      <c r="E28" s="2" t="s">
        <v>385</v>
      </c>
      <c r="F28" s="2" t="s">
        <v>375</v>
      </c>
      <c r="G28" s="2">
        <v>1</v>
      </c>
      <c r="H28" s="2"/>
    </row>
    <row r="29" spans="1:8" x14ac:dyDescent="0.3">
      <c r="A29" s="2" t="s">
        <v>304</v>
      </c>
      <c r="B29" s="2" t="s">
        <v>391</v>
      </c>
      <c r="C29" s="2" t="s">
        <v>347</v>
      </c>
      <c r="D29" s="2">
        <v>1</v>
      </c>
      <c r="E29" s="2" t="s">
        <v>49</v>
      </c>
      <c r="F29" s="2" t="s">
        <v>360</v>
      </c>
      <c r="G29" s="2">
        <v>2</v>
      </c>
      <c r="H29" s="2"/>
    </row>
    <row r="30" spans="1:8" x14ac:dyDescent="0.3">
      <c r="A30" s="2" t="s">
        <v>304</v>
      </c>
      <c r="B30" s="2" t="s">
        <v>392</v>
      </c>
      <c r="C30" s="2" t="s">
        <v>347</v>
      </c>
      <c r="D30" s="2">
        <v>1</v>
      </c>
      <c r="E30" s="2" t="s">
        <v>359</v>
      </c>
      <c r="F30" s="2" t="s">
        <v>366</v>
      </c>
      <c r="G30" s="2">
        <v>0</v>
      </c>
      <c r="H30" s="2"/>
    </row>
  </sheetData>
  <mergeCells count="2">
    <mergeCell ref="A1:H1"/>
    <mergeCell ref="A2:H2"/>
  </mergeCell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C7D31-1B9D-4E95-992D-6937856B8473}">
  <sheetPr codeName="Hoja15"/>
  <dimension ref="A1:I32"/>
  <sheetViews>
    <sheetView workbookViewId="0"/>
  </sheetViews>
  <sheetFormatPr baseColWidth="10" defaultRowHeight="14.4" x14ac:dyDescent="0.3"/>
  <cols>
    <col min="1" max="1" width="16.88671875" style="1" bestFit="1" customWidth="1"/>
    <col min="2" max="2" width="11" style="1" bestFit="1" customWidth="1"/>
    <col min="3" max="3" width="12.77734375" style="1" bestFit="1" customWidth="1"/>
    <col min="4" max="4" width="21.77734375" style="1" bestFit="1" customWidth="1"/>
    <col min="5" max="5" width="15.21875" style="1" bestFit="1" customWidth="1"/>
    <col min="6" max="6" width="90.109375" style="1" bestFit="1" customWidth="1"/>
    <col min="7" max="7" width="18.77734375" style="1" customWidth="1"/>
    <col min="8" max="8" width="24" style="1" bestFit="1" customWidth="1"/>
    <col min="9" max="9" width="29.109375" style="1" bestFit="1" customWidth="1"/>
    <col min="10" max="16384" width="11.5546875" style="1"/>
  </cols>
  <sheetData>
    <row r="1" spans="1:9" ht="34.049999999999997" customHeight="1" x14ac:dyDescent="0.3">
      <c r="A1" s="8" t="s">
        <v>15</v>
      </c>
      <c r="B1" s="9"/>
      <c r="C1" s="9"/>
      <c r="D1" s="9"/>
      <c r="E1" s="9"/>
      <c r="F1" s="9"/>
      <c r="G1" s="9"/>
      <c r="H1" s="9"/>
      <c r="I1" s="2"/>
    </row>
    <row r="2" spans="1:9" x14ac:dyDescent="0.3">
      <c r="A2" s="10" t="s">
        <v>1</v>
      </c>
      <c r="B2" s="11"/>
      <c r="C2" s="11"/>
      <c r="D2" s="11"/>
      <c r="E2" s="11"/>
      <c r="F2" s="11"/>
      <c r="G2" s="11"/>
      <c r="H2" s="11"/>
      <c r="I2" s="2"/>
    </row>
    <row r="3" spans="1:9" ht="7.95" customHeight="1" x14ac:dyDescent="0.3">
      <c r="A3" s="2"/>
      <c r="B3" s="2"/>
      <c r="C3" s="2"/>
      <c r="D3" s="2"/>
      <c r="E3" s="2"/>
      <c r="F3" s="2"/>
      <c r="G3" s="2"/>
      <c r="H3" s="2"/>
      <c r="I3" s="2"/>
    </row>
    <row r="4" spans="1:9" x14ac:dyDescent="0.3">
      <c r="A4" s="2" t="s">
        <v>267</v>
      </c>
      <c r="B4" s="2" t="s">
        <v>393</v>
      </c>
      <c r="C4" s="2" t="s">
        <v>268</v>
      </c>
      <c r="D4" s="2" t="s">
        <v>394</v>
      </c>
      <c r="E4" s="2" t="s">
        <v>395</v>
      </c>
      <c r="F4" s="2" t="s">
        <v>396</v>
      </c>
      <c r="G4" s="2"/>
      <c r="H4" s="2" t="s">
        <v>394</v>
      </c>
      <c r="I4" s="2" t="s">
        <v>270</v>
      </c>
    </row>
    <row r="5" spans="1:9" x14ac:dyDescent="0.3">
      <c r="A5" s="2" t="s">
        <v>276</v>
      </c>
      <c r="B5" s="2" t="s">
        <v>397</v>
      </c>
      <c r="C5" s="2" t="s">
        <v>277</v>
      </c>
      <c r="D5" s="2" t="s">
        <v>398</v>
      </c>
      <c r="E5" s="2" t="s">
        <v>178</v>
      </c>
      <c r="F5" s="2"/>
      <c r="G5" s="2"/>
      <c r="H5" s="2" t="s">
        <v>406</v>
      </c>
      <c r="I5" s="2" t="s">
        <v>439</v>
      </c>
    </row>
    <row r="6" spans="1:9" x14ac:dyDescent="0.3">
      <c r="A6" s="2" t="s">
        <v>276</v>
      </c>
      <c r="B6" s="2" t="s">
        <v>399</v>
      </c>
      <c r="C6" s="2" t="s">
        <v>277</v>
      </c>
      <c r="D6" s="2" t="s">
        <v>400</v>
      </c>
      <c r="E6" s="2" t="s">
        <v>401</v>
      </c>
      <c r="F6" s="2" t="b">
        <v>1</v>
      </c>
      <c r="G6" s="2"/>
      <c r="H6" s="2" t="s">
        <v>398</v>
      </c>
      <c r="I6" s="2" t="s">
        <v>439</v>
      </c>
    </row>
    <row r="7" spans="1:9" x14ac:dyDescent="0.3">
      <c r="A7" s="2" t="s">
        <v>276</v>
      </c>
      <c r="B7" s="2" t="s">
        <v>402</v>
      </c>
      <c r="C7" s="2" t="s">
        <v>284</v>
      </c>
      <c r="D7" s="2" t="s">
        <v>403</v>
      </c>
      <c r="E7" s="2" t="s">
        <v>401</v>
      </c>
      <c r="F7" s="2" t="s">
        <v>404</v>
      </c>
      <c r="G7" s="2"/>
      <c r="H7" s="2" t="s">
        <v>440</v>
      </c>
      <c r="I7" s="2" t="s">
        <v>439</v>
      </c>
    </row>
    <row r="8" spans="1:9" x14ac:dyDescent="0.3">
      <c r="A8" s="2" t="s">
        <v>276</v>
      </c>
      <c r="B8" s="2" t="s">
        <v>405</v>
      </c>
      <c r="C8" s="2" t="s">
        <v>287</v>
      </c>
      <c r="D8" s="2" t="s">
        <v>406</v>
      </c>
      <c r="E8" s="2" t="s">
        <v>150</v>
      </c>
      <c r="F8" s="2"/>
      <c r="G8" s="2"/>
      <c r="H8" s="2" t="s">
        <v>441</v>
      </c>
      <c r="I8" s="2" t="s">
        <v>439</v>
      </c>
    </row>
    <row r="9" spans="1:9" x14ac:dyDescent="0.3">
      <c r="A9" s="2" t="s">
        <v>276</v>
      </c>
      <c r="B9" s="2" t="s">
        <v>407</v>
      </c>
      <c r="C9" s="2" t="s">
        <v>293</v>
      </c>
      <c r="D9" s="2" t="s">
        <v>406</v>
      </c>
      <c r="E9" s="2" t="s">
        <v>178</v>
      </c>
      <c r="F9" s="2"/>
      <c r="G9" s="2"/>
      <c r="H9" s="2" t="s">
        <v>409</v>
      </c>
      <c r="I9" s="2" t="s">
        <v>439</v>
      </c>
    </row>
    <row r="10" spans="1:9" x14ac:dyDescent="0.3">
      <c r="A10" s="2" t="s">
        <v>276</v>
      </c>
      <c r="B10" s="2" t="s">
        <v>408</v>
      </c>
      <c r="C10" s="2" t="s">
        <v>297</v>
      </c>
      <c r="D10" s="2" t="s">
        <v>409</v>
      </c>
      <c r="E10" s="2" t="s">
        <v>401</v>
      </c>
      <c r="F10" s="2" t="s">
        <v>410</v>
      </c>
      <c r="G10" s="2"/>
      <c r="H10" s="2" t="s">
        <v>412</v>
      </c>
      <c r="I10" s="2" t="s">
        <v>439</v>
      </c>
    </row>
    <row r="11" spans="1:9" x14ac:dyDescent="0.3">
      <c r="A11" s="2" t="s">
        <v>276</v>
      </c>
      <c r="B11" s="2" t="s">
        <v>411</v>
      </c>
      <c r="C11" s="2" t="s">
        <v>297</v>
      </c>
      <c r="D11" s="2" t="s">
        <v>412</v>
      </c>
      <c r="E11" s="2" t="s">
        <v>401</v>
      </c>
      <c r="F11" s="2" t="s">
        <v>413</v>
      </c>
      <c r="G11" s="2"/>
      <c r="H11" s="2" t="s">
        <v>442</v>
      </c>
      <c r="I11" s="2" t="s">
        <v>439</v>
      </c>
    </row>
    <row r="12" spans="1:9" x14ac:dyDescent="0.3">
      <c r="A12" s="2" t="s">
        <v>276</v>
      </c>
      <c r="B12" s="2" t="s">
        <v>414</v>
      </c>
      <c r="C12" s="2" t="s">
        <v>297</v>
      </c>
      <c r="D12" s="2" t="s">
        <v>415</v>
      </c>
      <c r="E12" s="2" t="s">
        <v>401</v>
      </c>
      <c r="F12" s="2" t="s">
        <v>416</v>
      </c>
      <c r="G12" s="2"/>
      <c r="H12" s="2" t="s">
        <v>443</v>
      </c>
      <c r="I12" s="2" t="s">
        <v>439</v>
      </c>
    </row>
    <row r="13" spans="1:9" x14ac:dyDescent="0.3">
      <c r="A13" s="2" t="s">
        <v>276</v>
      </c>
      <c r="B13" s="2" t="s">
        <v>417</v>
      </c>
      <c r="C13" s="2" t="s">
        <v>297</v>
      </c>
      <c r="D13" s="2" t="s">
        <v>418</v>
      </c>
      <c r="E13" s="2" t="s">
        <v>401</v>
      </c>
      <c r="F13" s="2" t="s">
        <v>419</v>
      </c>
      <c r="G13" s="2"/>
      <c r="H13" s="2" t="s">
        <v>415</v>
      </c>
      <c r="I13" s="2" t="s">
        <v>439</v>
      </c>
    </row>
    <row r="14" spans="1:9" x14ac:dyDescent="0.3">
      <c r="A14" s="2" t="s">
        <v>276</v>
      </c>
      <c r="B14" s="2" t="s">
        <v>420</v>
      </c>
      <c r="C14" s="2" t="s">
        <v>300</v>
      </c>
      <c r="D14" s="2" t="s">
        <v>421</v>
      </c>
      <c r="E14" s="2" t="s">
        <v>401</v>
      </c>
      <c r="F14" s="2" t="b">
        <v>1</v>
      </c>
      <c r="G14" s="2"/>
      <c r="H14" s="2" t="s">
        <v>444</v>
      </c>
      <c r="I14" s="2" t="s">
        <v>439</v>
      </c>
    </row>
    <row r="15" spans="1:9" x14ac:dyDescent="0.3">
      <c r="A15" s="2" t="s">
        <v>304</v>
      </c>
      <c r="B15" s="2" t="s">
        <v>397</v>
      </c>
      <c r="C15" s="2" t="s">
        <v>305</v>
      </c>
      <c r="D15" s="2" t="s">
        <v>398</v>
      </c>
      <c r="E15" s="2" t="s">
        <v>178</v>
      </c>
      <c r="F15" s="2"/>
      <c r="G15" s="2"/>
      <c r="H15" s="2" t="s">
        <v>445</v>
      </c>
      <c r="I15" s="2" t="s">
        <v>439</v>
      </c>
    </row>
    <row r="16" spans="1:9" x14ac:dyDescent="0.3">
      <c r="A16" s="2" t="s">
        <v>304</v>
      </c>
      <c r="B16" s="2" t="s">
        <v>399</v>
      </c>
      <c r="C16" s="2" t="s">
        <v>305</v>
      </c>
      <c r="D16" s="2" t="s">
        <v>400</v>
      </c>
      <c r="E16" s="2" t="s">
        <v>401</v>
      </c>
      <c r="F16" s="2" t="b">
        <v>1</v>
      </c>
      <c r="G16" s="2"/>
      <c r="H16" s="2" t="s">
        <v>446</v>
      </c>
      <c r="I16" s="2" t="s">
        <v>439</v>
      </c>
    </row>
    <row r="17" spans="1:9" x14ac:dyDescent="0.3">
      <c r="A17" s="2" t="s">
        <v>304</v>
      </c>
      <c r="B17" s="2" t="s">
        <v>402</v>
      </c>
      <c r="C17" s="2" t="s">
        <v>305</v>
      </c>
      <c r="D17" s="2" t="s">
        <v>403</v>
      </c>
      <c r="E17" s="2" t="s">
        <v>401</v>
      </c>
      <c r="F17" s="2" t="s">
        <v>422</v>
      </c>
      <c r="G17" s="2"/>
      <c r="H17" s="2" t="s">
        <v>447</v>
      </c>
      <c r="I17" s="2" t="s">
        <v>439</v>
      </c>
    </row>
    <row r="18" spans="1:9" x14ac:dyDescent="0.3">
      <c r="A18" s="2" t="s">
        <v>304</v>
      </c>
      <c r="B18" s="2" t="s">
        <v>405</v>
      </c>
      <c r="C18" s="2" t="s">
        <v>308</v>
      </c>
      <c r="D18" s="2" t="s">
        <v>400</v>
      </c>
      <c r="E18" s="2" t="s">
        <v>401</v>
      </c>
      <c r="F18" s="2" t="b">
        <v>1</v>
      </c>
      <c r="G18" s="2"/>
      <c r="H18" s="2" t="s">
        <v>448</v>
      </c>
      <c r="I18" s="2" t="s">
        <v>439</v>
      </c>
    </row>
    <row r="19" spans="1:9" x14ac:dyDescent="0.3">
      <c r="A19" s="2" t="s">
        <v>304</v>
      </c>
      <c r="B19" s="2" t="s">
        <v>407</v>
      </c>
      <c r="C19" s="2" t="s">
        <v>308</v>
      </c>
      <c r="D19" s="2" t="s">
        <v>403</v>
      </c>
      <c r="E19" s="2" t="s">
        <v>401</v>
      </c>
      <c r="F19" s="2" t="s">
        <v>423</v>
      </c>
      <c r="G19" s="2"/>
      <c r="H19" s="2" t="s">
        <v>449</v>
      </c>
      <c r="I19" s="2" t="s">
        <v>439</v>
      </c>
    </row>
    <row r="20" spans="1:9" x14ac:dyDescent="0.3">
      <c r="A20" s="2" t="s">
        <v>304</v>
      </c>
      <c r="B20" s="2" t="s">
        <v>408</v>
      </c>
      <c r="C20" s="2" t="s">
        <v>312</v>
      </c>
      <c r="D20" s="2" t="s">
        <v>406</v>
      </c>
      <c r="E20" s="2" t="s">
        <v>178</v>
      </c>
      <c r="F20" s="2"/>
      <c r="G20" s="2"/>
      <c r="H20" s="2" t="s">
        <v>418</v>
      </c>
      <c r="I20" s="2" t="s">
        <v>439</v>
      </c>
    </row>
    <row r="21" spans="1:9" x14ac:dyDescent="0.3">
      <c r="A21" s="2" t="s">
        <v>304</v>
      </c>
      <c r="B21" s="2" t="s">
        <v>411</v>
      </c>
      <c r="C21" s="2" t="s">
        <v>317</v>
      </c>
      <c r="D21" s="2" t="s">
        <v>406</v>
      </c>
      <c r="E21" s="2" t="s">
        <v>150</v>
      </c>
      <c r="F21" s="2"/>
      <c r="G21" s="2"/>
      <c r="H21" s="2" t="s">
        <v>431</v>
      </c>
      <c r="I21" s="2" t="s">
        <v>439</v>
      </c>
    </row>
    <row r="22" spans="1:9" x14ac:dyDescent="0.3">
      <c r="A22" s="2" t="s">
        <v>304</v>
      </c>
      <c r="B22" s="2" t="s">
        <v>414</v>
      </c>
      <c r="C22" s="2" t="s">
        <v>320</v>
      </c>
      <c r="D22" s="2" t="s">
        <v>406</v>
      </c>
      <c r="E22" s="2" t="s">
        <v>187</v>
      </c>
      <c r="F22" s="2"/>
      <c r="G22" s="2"/>
      <c r="H22" s="2" t="s">
        <v>421</v>
      </c>
      <c r="I22" s="2" t="s">
        <v>439</v>
      </c>
    </row>
    <row r="23" spans="1:9" x14ac:dyDescent="0.3">
      <c r="A23" s="2" t="s">
        <v>304</v>
      </c>
      <c r="B23" s="2" t="s">
        <v>417</v>
      </c>
      <c r="C23" s="2" t="s">
        <v>326</v>
      </c>
      <c r="D23" s="2" t="s">
        <v>406</v>
      </c>
      <c r="E23" s="2" t="s">
        <v>200</v>
      </c>
      <c r="F23" s="2"/>
      <c r="G23" s="2"/>
      <c r="H23" s="2" t="s">
        <v>400</v>
      </c>
      <c r="I23" s="2" t="s">
        <v>439</v>
      </c>
    </row>
    <row r="24" spans="1:9" x14ac:dyDescent="0.3">
      <c r="A24" s="2" t="s">
        <v>304</v>
      </c>
      <c r="B24" s="2" t="s">
        <v>420</v>
      </c>
      <c r="C24" s="2" t="s">
        <v>329</v>
      </c>
      <c r="D24" s="2" t="s">
        <v>406</v>
      </c>
      <c r="E24" s="2" t="s">
        <v>216</v>
      </c>
      <c r="F24" s="2"/>
      <c r="G24" s="2"/>
      <c r="H24" s="2" t="s">
        <v>433</v>
      </c>
      <c r="I24" s="2" t="s">
        <v>439</v>
      </c>
    </row>
    <row r="25" spans="1:9" x14ac:dyDescent="0.3">
      <c r="A25" s="2" t="s">
        <v>304</v>
      </c>
      <c r="B25" s="2" t="s">
        <v>424</v>
      </c>
      <c r="C25" s="2" t="s">
        <v>332</v>
      </c>
      <c r="D25" s="2" t="s">
        <v>409</v>
      </c>
      <c r="E25" s="2" t="s">
        <v>401</v>
      </c>
      <c r="F25" s="2" t="s">
        <v>425</v>
      </c>
      <c r="G25" s="2"/>
      <c r="H25" s="2" t="s">
        <v>450</v>
      </c>
      <c r="I25" s="2" t="s">
        <v>439</v>
      </c>
    </row>
    <row r="26" spans="1:9" x14ac:dyDescent="0.3">
      <c r="A26" s="2" t="s">
        <v>304</v>
      </c>
      <c r="B26" s="2" t="s">
        <v>426</v>
      </c>
      <c r="C26" s="2" t="s">
        <v>332</v>
      </c>
      <c r="D26" s="2" t="s">
        <v>415</v>
      </c>
      <c r="E26" s="2" t="s">
        <v>401</v>
      </c>
      <c r="F26" s="2" t="s">
        <v>427</v>
      </c>
      <c r="G26" s="2"/>
      <c r="H26" s="2" t="s">
        <v>403</v>
      </c>
      <c r="I26" s="2" t="s">
        <v>439</v>
      </c>
    </row>
    <row r="27" spans="1:9" x14ac:dyDescent="0.3">
      <c r="A27" s="2" t="s">
        <v>304</v>
      </c>
      <c r="B27" s="2" t="s">
        <v>428</v>
      </c>
      <c r="C27" s="2" t="s">
        <v>332</v>
      </c>
      <c r="D27" s="2" t="s">
        <v>418</v>
      </c>
      <c r="E27" s="2" t="s">
        <v>401</v>
      </c>
      <c r="F27" s="2" t="s">
        <v>429</v>
      </c>
      <c r="G27" s="2"/>
      <c r="H27" s="2"/>
      <c r="I27" s="2"/>
    </row>
    <row r="28" spans="1:9" x14ac:dyDescent="0.3">
      <c r="A28" s="2" t="s">
        <v>304</v>
      </c>
      <c r="B28" s="2" t="s">
        <v>430</v>
      </c>
      <c r="C28" s="2" t="s">
        <v>336</v>
      </c>
      <c r="D28" s="2" t="s">
        <v>431</v>
      </c>
      <c r="E28" s="2" t="s">
        <v>401</v>
      </c>
      <c r="F28" s="2">
        <v>2</v>
      </c>
      <c r="G28" s="2"/>
      <c r="H28" s="2"/>
      <c r="I28" s="2"/>
    </row>
    <row r="29" spans="1:9" x14ac:dyDescent="0.3">
      <c r="A29" s="2" t="s">
        <v>304</v>
      </c>
      <c r="B29" s="2" t="s">
        <v>432</v>
      </c>
      <c r="C29" s="2" t="s">
        <v>340</v>
      </c>
      <c r="D29" s="2" t="s">
        <v>433</v>
      </c>
      <c r="E29" s="2" t="s">
        <v>401</v>
      </c>
      <c r="F29" s="2" t="b">
        <v>1</v>
      </c>
      <c r="G29" s="2"/>
      <c r="H29" s="2"/>
      <c r="I29" s="2"/>
    </row>
    <row r="30" spans="1:9" x14ac:dyDescent="0.3">
      <c r="A30" s="2" t="s">
        <v>304</v>
      </c>
      <c r="B30" s="2" t="s">
        <v>434</v>
      </c>
      <c r="C30" s="2" t="s">
        <v>340</v>
      </c>
      <c r="D30" s="2" t="s">
        <v>400</v>
      </c>
      <c r="E30" s="2" t="s">
        <v>401</v>
      </c>
      <c r="F30" s="2" t="b">
        <v>1</v>
      </c>
      <c r="G30" s="2"/>
      <c r="H30" s="2"/>
      <c r="I30" s="2"/>
    </row>
    <row r="31" spans="1:9" x14ac:dyDescent="0.3">
      <c r="A31" s="2" t="s">
        <v>304</v>
      </c>
      <c r="B31" s="2" t="s">
        <v>435</v>
      </c>
      <c r="C31" s="2" t="s">
        <v>344</v>
      </c>
      <c r="D31" s="2" t="s">
        <v>421</v>
      </c>
      <c r="E31" s="2" t="s">
        <v>401</v>
      </c>
      <c r="F31" s="2" t="b">
        <v>1</v>
      </c>
      <c r="G31" s="2"/>
      <c r="H31" s="2"/>
      <c r="I31" s="2"/>
    </row>
    <row r="32" spans="1:9" x14ac:dyDescent="0.3">
      <c r="A32" s="2" t="s">
        <v>304</v>
      </c>
      <c r="B32" s="2" t="s">
        <v>436</v>
      </c>
      <c r="C32" s="2" t="s">
        <v>347</v>
      </c>
      <c r="D32" s="2" t="s">
        <v>403</v>
      </c>
      <c r="E32" s="2" t="s">
        <v>437</v>
      </c>
      <c r="F32" s="2" t="s">
        <v>438</v>
      </c>
      <c r="G32" s="2"/>
      <c r="H32" s="2"/>
      <c r="I32" s="2"/>
    </row>
  </sheetData>
  <mergeCells count="2">
    <mergeCell ref="A1:H1"/>
    <mergeCell ref="A2:H2"/>
  </mergeCells>
  <pageMargins left="0.7" right="0.7" top="0.75" bottom="0.75" header="0.3" footer="0.3"/>
  <tableParts count="2">
    <tablePart r:id="rId1"/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AFF069-94F0-4AA4-B888-9BB8D123C310}">
  <sheetPr codeName="Hoja16"/>
  <dimension ref="A1:N13"/>
  <sheetViews>
    <sheetView workbookViewId="0"/>
  </sheetViews>
  <sheetFormatPr baseColWidth="10" defaultRowHeight="14.4" x14ac:dyDescent="0.3"/>
  <cols>
    <col min="1" max="1" width="16.88671875" style="1" bestFit="1" customWidth="1"/>
    <col min="2" max="2" width="23.109375" style="1" bestFit="1" customWidth="1"/>
    <col min="3" max="3" width="13.5546875" style="1" bestFit="1" customWidth="1"/>
    <col min="4" max="4" width="22.44140625" style="1" bestFit="1" customWidth="1"/>
    <col min="5" max="6" width="8.33203125" style="1" bestFit="1" customWidth="1"/>
    <col min="7" max="7" width="14.5546875" style="1" bestFit="1" customWidth="1"/>
    <col min="8" max="8" width="19.77734375" style="1" bestFit="1" customWidth="1"/>
    <col min="9" max="10" width="11.5546875" style="1"/>
    <col min="11" max="11" width="9.21875" style="1" bestFit="1" customWidth="1"/>
    <col min="12" max="12" width="16.88671875" style="1" bestFit="1" customWidth="1"/>
    <col min="13" max="13" width="14.88671875" style="1" bestFit="1" customWidth="1"/>
    <col min="14" max="14" width="10.77734375" style="1" bestFit="1" customWidth="1"/>
    <col min="15" max="16384" width="11.5546875" style="1"/>
  </cols>
  <sheetData>
    <row r="1" spans="1:14" ht="34.049999999999997" customHeight="1" x14ac:dyDescent="0.3">
      <c r="A1" s="8" t="s">
        <v>16</v>
      </c>
      <c r="B1" s="9"/>
      <c r="C1" s="9"/>
      <c r="D1" s="9"/>
      <c r="E1" s="9"/>
      <c r="F1" s="9"/>
      <c r="G1" s="9"/>
      <c r="H1" s="9"/>
      <c r="I1" s="2"/>
      <c r="J1" s="2"/>
      <c r="K1" s="2"/>
      <c r="L1" s="2"/>
      <c r="M1" s="2"/>
      <c r="N1" s="2"/>
    </row>
    <row r="2" spans="1:14" x14ac:dyDescent="0.3">
      <c r="A2" s="10" t="s">
        <v>1</v>
      </c>
      <c r="B2" s="11"/>
      <c r="C2" s="11"/>
      <c r="D2" s="11"/>
      <c r="E2" s="11"/>
      <c r="F2" s="11"/>
      <c r="G2" s="11"/>
      <c r="H2" s="11"/>
      <c r="I2" s="2"/>
      <c r="J2" s="2"/>
      <c r="K2" s="2"/>
      <c r="L2" s="2"/>
      <c r="M2" s="2"/>
      <c r="N2" s="2"/>
    </row>
    <row r="3" spans="1:14" ht="7.9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</row>
    <row r="4" spans="1:14" x14ac:dyDescent="0.3">
      <c r="A4" s="2" t="s">
        <v>267</v>
      </c>
      <c r="B4" s="2" t="s">
        <v>451</v>
      </c>
      <c r="C4" s="2" t="s">
        <v>130</v>
      </c>
      <c r="D4" s="2" t="s">
        <v>129</v>
      </c>
      <c r="E4" s="2" t="s">
        <v>396</v>
      </c>
      <c r="F4" s="2" t="s">
        <v>236</v>
      </c>
      <c r="G4" s="2" t="s">
        <v>452</v>
      </c>
      <c r="H4" s="2" t="s">
        <v>272</v>
      </c>
      <c r="I4" s="2"/>
      <c r="J4" s="2"/>
      <c r="K4" s="2" t="s">
        <v>268</v>
      </c>
      <c r="L4" s="2" t="s">
        <v>267</v>
      </c>
      <c r="M4" s="2" t="s">
        <v>451</v>
      </c>
      <c r="N4" s="2" t="s">
        <v>477</v>
      </c>
    </row>
    <row r="5" spans="1:14" x14ac:dyDescent="0.3">
      <c r="A5" s="2" t="s">
        <v>276</v>
      </c>
      <c r="B5" s="2" t="s">
        <v>453</v>
      </c>
      <c r="C5" s="2" t="s">
        <v>454</v>
      </c>
      <c r="D5" s="2" t="s">
        <v>93</v>
      </c>
      <c r="E5" s="2">
        <v>3</v>
      </c>
      <c r="F5" s="2" t="s">
        <v>455</v>
      </c>
      <c r="G5" s="2"/>
      <c r="H5" s="2" t="s">
        <v>290</v>
      </c>
      <c r="I5" s="2"/>
      <c r="J5" s="2"/>
      <c r="K5" s="2"/>
      <c r="L5" s="2"/>
      <c r="M5" s="2"/>
      <c r="N5" s="2"/>
    </row>
    <row r="6" spans="1:14" x14ac:dyDescent="0.3">
      <c r="A6" s="2" t="s">
        <v>276</v>
      </c>
      <c r="B6" s="2" t="s">
        <v>456</v>
      </c>
      <c r="C6" s="2" t="s">
        <v>454</v>
      </c>
      <c r="D6" s="2" t="s">
        <v>457</v>
      </c>
      <c r="E6" s="2">
        <v>6</v>
      </c>
      <c r="F6" s="2" t="s">
        <v>458</v>
      </c>
      <c r="G6" s="2"/>
      <c r="H6" s="2" t="s">
        <v>290</v>
      </c>
      <c r="I6" s="2"/>
      <c r="J6" s="2"/>
      <c r="K6" s="2"/>
      <c r="L6" s="2"/>
      <c r="M6" s="2"/>
      <c r="N6" s="2"/>
    </row>
    <row r="7" spans="1:14" x14ac:dyDescent="0.3">
      <c r="A7" s="2" t="s">
        <v>276</v>
      </c>
      <c r="B7" s="2" t="s">
        <v>459</v>
      </c>
      <c r="C7" s="2" t="s">
        <v>454</v>
      </c>
      <c r="D7" s="2" t="s">
        <v>460</v>
      </c>
      <c r="E7" s="2">
        <v>180</v>
      </c>
      <c r="F7" s="2" t="s">
        <v>461</v>
      </c>
      <c r="G7" s="2"/>
      <c r="H7" s="2" t="s">
        <v>290</v>
      </c>
      <c r="I7" s="2"/>
      <c r="J7" s="2"/>
      <c r="K7" s="2"/>
      <c r="L7" s="2"/>
      <c r="M7" s="2"/>
      <c r="N7" s="2"/>
    </row>
    <row r="8" spans="1:14" x14ac:dyDescent="0.3">
      <c r="A8" s="2" t="s">
        <v>276</v>
      </c>
      <c r="B8" s="2" t="s">
        <v>462</v>
      </c>
      <c r="C8" s="2" t="s">
        <v>454</v>
      </c>
      <c r="D8" s="2" t="s">
        <v>463</v>
      </c>
      <c r="E8" s="2">
        <v>8</v>
      </c>
      <c r="F8" s="2" t="s">
        <v>89</v>
      </c>
      <c r="G8" s="2"/>
      <c r="H8" s="2" t="s">
        <v>290</v>
      </c>
      <c r="I8" s="2"/>
      <c r="J8" s="2"/>
      <c r="K8" s="2"/>
      <c r="L8" s="2"/>
      <c r="M8" s="2"/>
      <c r="N8" s="2"/>
    </row>
    <row r="9" spans="1:14" x14ac:dyDescent="0.3">
      <c r="A9" s="2" t="s">
        <v>304</v>
      </c>
      <c r="B9" s="2" t="s">
        <v>464</v>
      </c>
      <c r="C9" s="2" t="s">
        <v>465</v>
      </c>
      <c r="D9" s="2" t="s">
        <v>466</v>
      </c>
      <c r="E9" s="2">
        <v>4</v>
      </c>
      <c r="F9" s="2" t="s">
        <v>455</v>
      </c>
      <c r="G9" s="2" t="s">
        <v>184</v>
      </c>
      <c r="H9" s="2" t="s">
        <v>281</v>
      </c>
      <c r="I9" s="2"/>
      <c r="J9" s="2"/>
      <c r="K9" s="2"/>
      <c r="L9" s="2"/>
      <c r="M9" s="2"/>
      <c r="N9" s="2"/>
    </row>
    <row r="10" spans="1:14" x14ac:dyDescent="0.3">
      <c r="A10" s="2" t="s">
        <v>304</v>
      </c>
      <c r="B10" s="2" t="s">
        <v>467</v>
      </c>
      <c r="C10" s="2" t="s">
        <v>230</v>
      </c>
      <c r="D10" s="2" t="s">
        <v>468</v>
      </c>
      <c r="E10" s="2">
        <v>180</v>
      </c>
      <c r="F10" s="2" t="s">
        <v>461</v>
      </c>
      <c r="G10" s="2" t="s">
        <v>206</v>
      </c>
      <c r="H10" s="2" t="s">
        <v>322</v>
      </c>
      <c r="I10" s="2"/>
      <c r="J10" s="2"/>
      <c r="K10" s="2"/>
      <c r="L10" s="2"/>
      <c r="M10" s="2"/>
      <c r="N10" s="2"/>
    </row>
    <row r="11" spans="1:14" x14ac:dyDescent="0.3">
      <c r="A11" s="2" t="s">
        <v>304</v>
      </c>
      <c r="B11" s="2" t="s">
        <v>469</v>
      </c>
      <c r="C11" s="2" t="s">
        <v>121</v>
      </c>
      <c r="D11" s="2" t="s">
        <v>470</v>
      </c>
      <c r="E11" s="2">
        <v>8</v>
      </c>
      <c r="F11" s="2" t="s">
        <v>89</v>
      </c>
      <c r="G11" s="2" t="s">
        <v>338</v>
      </c>
      <c r="H11" s="2" t="s">
        <v>322</v>
      </c>
      <c r="I11" s="2"/>
      <c r="J11" s="2"/>
      <c r="K11" s="2"/>
      <c r="L11" s="2"/>
      <c r="M11" s="2"/>
      <c r="N11" s="2"/>
    </row>
    <row r="12" spans="1:14" x14ac:dyDescent="0.3">
      <c r="A12" s="2" t="s">
        <v>304</v>
      </c>
      <c r="B12" s="2" t="s">
        <v>471</v>
      </c>
      <c r="C12" s="2" t="s">
        <v>194</v>
      </c>
      <c r="D12" s="2" t="s">
        <v>472</v>
      </c>
      <c r="E12" s="2">
        <v>8</v>
      </c>
      <c r="F12" s="2" t="s">
        <v>458</v>
      </c>
      <c r="G12" s="2" t="s">
        <v>206</v>
      </c>
      <c r="H12" s="2" t="s">
        <v>322</v>
      </c>
      <c r="I12" s="2"/>
      <c r="J12" s="2"/>
      <c r="K12" s="2"/>
      <c r="L12" s="2"/>
      <c r="M12" s="2"/>
      <c r="N12" s="2"/>
    </row>
    <row r="13" spans="1:14" x14ac:dyDescent="0.3">
      <c r="A13" s="2" t="s">
        <v>304</v>
      </c>
      <c r="B13" s="2" t="s">
        <v>473</v>
      </c>
      <c r="C13" s="2" t="s">
        <v>474</v>
      </c>
      <c r="D13" s="2" t="s">
        <v>475</v>
      </c>
      <c r="E13" s="2">
        <v>6</v>
      </c>
      <c r="F13" s="2" t="s">
        <v>476</v>
      </c>
      <c r="G13" s="2"/>
      <c r="H13" s="2" t="s">
        <v>295</v>
      </c>
      <c r="I13" s="2"/>
      <c r="J13" s="2"/>
      <c r="K13" s="2"/>
      <c r="L13" s="2"/>
      <c r="M13" s="2"/>
      <c r="N13" s="2"/>
    </row>
  </sheetData>
  <mergeCells count="2">
    <mergeCell ref="A1:H1"/>
    <mergeCell ref="A2:H2"/>
  </mergeCells>
  <pageMargins left="0.7" right="0.7" top="0.75" bottom="0.75" header="0.3" footer="0.3"/>
  <tableParts count="2">
    <tablePart r:id="rId1"/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156DB-EBC7-4568-87D2-08C0D50139D5}">
  <sheetPr codeName="Hoja17"/>
  <dimension ref="A1:H6"/>
  <sheetViews>
    <sheetView workbookViewId="0"/>
  </sheetViews>
  <sheetFormatPr baseColWidth="10" defaultRowHeight="14.4" x14ac:dyDescent="0.3"/>
  <cols>
    <col min="1" max="1" width="14.77734375" style="1" bestFit="1" customWidth="1"/>
    <col min="2" max="2" width="10" style="1" bestFit="1" customWidth="1"/>
    <col min="3" max="3" width="10.77734375" style="1" bestFit="1" customWidth="1"/>
    <col min="4" max="5" width="12.21875" style="1" bestFit="1" customWidth="1"/>
    <col min="6" max="6" width="13.109375" style="1" bestFit="1" customWidth="1"/>
    <col min="7" max="7" width="41.109375" style="1" bestFit="1" customWidth="1"/>
    <col min="8" max="8" width="18.77734375" style="1" customWidth="1"/>
    <col min="9" max="16384" width="11.5546875" style="1"/>
  </cols>
  <sheetData>
    <row r="1" spans="1:8" ht="34.049999999999997" customHeight="1" x14ac:dyDescent="0.3">
      <c r="A1" s="8" t="s">
        <v>17</v>
      </c>
      <c r="B1" s="9"/>
      <c r="C1" s="9"/>
      <c r="D1" s="9"/>
      <c r="E1" s="9"/>
      <c r="F1" s="9"/>
      <c r="G1" s="9"/>
      <c r="H1" s="9"/>
    </row>
    <row r="2" spans="1:8" x14ac:dyDescent="0.3">
      <c r="A2" s="10" t="s">
        <v>1</v>
      </c>
      <c r="B2" s="11"/>
      <c r="C2" s="11"/>
      <c r="D2" s="11"/>
      <c r="E2" s="11"/>
      <c r="F2" s="11"/>
      <c r="G2" s="11"/>
      <c r="H2" s="11"/>
    </row>
    <row r="3" spans="1:8" ht="7.95" customHeight="1" x14ac:dyDescent="0.3">
      <c r="A3" s="2"/>
      <c r="B3" s="2"/>
      <c r="C3" s="2"/>
      <c r="D3" s="2"/>
      <c r="E3" s="2"/>
      <c r="F3" s="2"/>
      <c r="G3" s="2"/>
      <c r="H3" s="2"/>
    </row>
    <row r="4" spans="1:8" x14ac:dyDescent="0.3">
      <c r="A4" s="2" t="s">
        <v>478</v>
      </c>
      <c r="B4" s="2" t="s">
        <v>129</v>
      </c>
      <c r="C4" s="2" t="s">
        <v>52</v>
      </c>
      <c r="D4" s="2" t="s">
        <v>479</v>
      </c>
      <c r="E4" s="2" t="s">
        <v>480</v>
      </c>
      <c r="F4" s="2" t="s">
        <v>481</v>
      </c>
      <c r="G4" s="2" t="s">
        <v>56</v>
      </c>
      <c r="H4" s="2"/>
    </row>
    <row r="5" spans="1:8" x14ac:dyDescent="0.3">
      <c r="A5" s="2" t="s">
        <v>276</v>
      </c>
      <c r="B5" s="2" t="s">
        <v>482</v>
      </c>
      <c r="C5" s="2" t="s">
        <v>483</v>
      </c>
      <c r="D5" s="2" t="b">
        <v>1</v>
      </c>
      <c r="E5" s="2" t="b">
        <v>1</v>
      </c>
      <c r="F5" s="2" t="b">
        <v>1</v>
      </c>
      <c r="G5" s="2" t="s">
        <v>484</v>
      </c>
      <c r="H5" s="2"/>
    </row>
    <row r="6" spans="1:8" x14ac:dyDescent="0.3">
      <c r="A6" s="2" t="s">
        <v>304</v>
      </c>
      <c r="B6" s="2" t="s">
        <v>485</v>
      </c>
      <c r="C6" s="2" t="s">
        <v>486</v>
      </c>
      <c r="D6" s="2" t="b">
        <v>1</v>
      </c>
      <c r="E6" s="2" t="b">
        <v>0</v>
      </c>
      <c r="F6" s="2" t="b">
        <v>1</v>
      </c>
      <c r="G6" s="2" t="s">
        <v>487</v>
      </c>
      <c r="H6" s="2"/>
    </row>
  </sheetData>
  <mergeCells count="2">
    <mergeCell ref="A1:H1"/>
    <mergeCell ref="A2:H2"/>
  </mergeCells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B8D95-AD84-4012-937C-824A0F2C114C}">
  <sheetPr codeName="Hoja18"/>
  <dimension ref="A1:S12"/>
  <sheetViews>
    <sheetView workbookViewId="0"/>
  </sheetViews>
  <sheetFormatPr baseColWidth="10" defaultRowHeight="14.4" x14ac:dyDescent="0.3"/>
  <cols>
    <col min="1" max="1" width="11.6640625" style="1" bestFit="1" customWidth="1"/>
    <col min="2" max="2" width="33.44140625" style="1" bestFit="1" customWidth="1"/>
    <col min="3" max="3" width="65.21875" style="1" bestFit="1" customWidth="1"/>
    <col min="4" max="4" width="105" style="1" bestFit="1" customWidth="1"/>
    <col min="5" max="5" width="7.44140625" style="1" bestFit="1" customWidth="1"/>
    <col min="6" max="6" width="41.6640625" style="1" bestFit="1" customWidth="1"/>
    <col min="7" max="7" width="10.109375" style="1" bestFit="1" customWidth="1"/>
    <col min="8" max="8" width="8" style="1" bestFit="1" customWidth="1"/>
    <col min="9" max="9" width="10.5546875" style="1" bestFit="1" customWidth="1"/>
    <col min="10" max="10" width="31.21875" style="1" bestFit="1" customWidth="1"/>
    <col min="11" max="11" width="9.88671875" style="1" bestFit="1" customWidth="1"/>
    <col min="12" max="12" width="40.21875" style="1" bestFit="1" customWidth="1"/>
    <col min="13" max="13" width="16.44140625" style="1" bestFit="1" customWidth="1"/>
    <col min="14" max="14" width="29.77734375" style="1" bestFit="1" customWidth="1"/>
    <col min="15" max="15" width="19.109375" style="1" bestFit="1" customWidth="1"/>
    <col min="16" max="16" width="38.21875" style="1" bestFit="1" customWidth="1"/>
    <col min="17" max="17" width="99.109375" style="1" bestFit="1" customWidth="1"/>
    <col min="18" max="18" width="61.109375" style="1" bestFit="1" customWidth="1"/>
    <col min="19" max="19" width="46.44140625" style="1" bestFit="1" customWidth="1"/>
    <col min="20" max="16384" width="11.5546875" style="1"/>
  </cols>
  <sheetData>
    <row r="1" spans="1:19" ht="34.049999999999997" customHeight="1" x14ac:dyDescent="0.3">
      <c r="A1" s="8" t="s">
        <v>18</v>
      </c>
      <c r="B1" s="9"/>
      <c r="C1" s="9"/>
      <c r="D1" s="9"/>
      <c r="E1" s="9"/>
      <c r="F1" s="9"/>
      <c r="G1" s="9"/>
      <c r="H1" s="9"/>
      <c r="I1" s="2"/>
      <c r="J1" s="2"/>
      <c r="K1" s="2"/>
      <c r="L1" s="2"/>
      <c r="M1" s="2"/>
      <c r="N1" s="2"/>
      <c r="O1" s="2"/>
      <c r="P1" s="2"/>
      <c r="Q1" s="2"/>
      <c r="R1" s="2"/>
      <c r="S1" s="2"/>
    </row>
    <row r="2" spans="1:19" x14ac:dyDescent="0.3">
      <c r="A2" s="10" t="s">
        <v>1</v>
      </c>
      <c r="B2" s="11"/>
      <c r="C2" s="11"/>
      <c r="D2" s="11"/>
      <c r="E2" s="11"/>
      <c r="F2" s="11"/>
      <c r="G2" s="11"/>
      <c r="H2" s="11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3" spans="1:19" ht="7.9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</row>
    <row r="4" spans="1:19" x14ac:dyDescent="0.3">
      <c r="A4" s="2" t="s">
        <v>240</v>
      </c>
      <c r="B4" s="2" t="s">
        <v>488</v>
      </c>
      <c r="C4" s="2" t="s">
        <v>489</v>
      </c>
      <c r="D4" s="2" t="s">
        <v>490</v>
      </c>
      <c r="E4" s="2" t="s">
        <v>491</v>
      </c>
      <c r="F4" s="2" t="s">
        <v>492</v>
      </c>
      <c r="G4" s="2" t="s">
        <v>493</v>
      </c>
      <c r="H4" s="2" t="s">
        <v>494</v>
      </c>
      <c r="I4" s="2" t="s">
        <v>495</v>
      </c>
      <c r="J4" s="2" t="s">
        <v>496</v>
      </c>
      <c r="K4" s="2" t="s">
        <v>497</v>
      </c>
      <c r="L4" s="2" t="s">
        <v>498</v>
      </c>
      <c r="M4" s="2" t="s">
        <v>499</v>
      </c>
      <c r="N4" s="2" t="s">
        <v>500</v>
      </c>
      <c r="O4" s="2" t="s">
        <v>501</v>
      </c>
      <c r="P4" s="2" t="s">
        <v>502</v>
      </c>
      <c r="Q4" s="2" t="s">
        <v>503</v>
      </c>
      <c r="R4" s="2" t="s">
        <v>243</v>
      </c>
      <c r="S4" s="2" t="s">
        <v>56</v>
      </c>
    </row>
    <row r="5" spans="1:19" x14ac:dyDescent="0.3">
      <c r="A5" s="2" t="s">
        <v>163</v>
      </c>
      <c r="B5" s="2" t="s">
        <v>504</v>
      </c>
      <c r="C5" s="2" t="s">
        <v>505</v>
      </c>
      <c r="D5" s="2" t="s">
        <v>506</v>
      </c>
      <c r="E5" s="2">
        <v>2023</v>
      </c>
      <c r="F5" s="2" t="s">
        <v>507</v>
      </c>
      <c r="G5" s="2">
        <v>40</v>
      </c>
      <c r="H5" s="2">
        <v>1</v>
      </c>
      <c r="I5" s="2" t="s">
        <v>508</v>
      </c>
      <c r="J5" s="2" t="s">
        <v>509</v>
      </c>
      <c r="K5" s="2">
        <v>36636194</v>
      </c>
      <c r="L5" s="2" t="s">
        <v>510</v>
      </c>
      <c r="M5" s="6">
        <v>46271</v>
      </c>
      <c r="N5" s="2" t="s">
        <v>511</v>
      </c>
      <c r="O5" s="2" t="b">
        <v>1</v>
      </c>
      <c r="P5" s="2" t="s">
        <v>512</v>
      </c>
      <c r="Q5" s="2" t="s">
        <v>513</v>
      </c>
      <c r="R5" s="2" t="s">
        <v>514</v>
      </c>
      <c r="S5" s="2" t="s">
        <v>515</v>
      </c>
    </row>
    <row r="6" spans="1:19" x14ac:dyDescent="0.3">
      <c r="A6" s="2" t="s">
        <v>197</v>
      </c>
      <c r="B6" s="2" t="s">
        <v>516</v>
      </c>
      <c r="C6" s="2" t="s">
        <v>517</v>
      </c>
      <c r="D6" s="2" t="s">
        <v>518</v>
      </c>
      <c r="E6" s="2">
        <v>2023</v>
      </c>
      <c r="F6" s="2" t="s">
        <v>519</v>
      </c>
      <c r="G6" s="2">
        <v>37</v>
      </c>
      <c r="H6" s="2">
        <v>3</v>
      </c>
      <c r="I6" s="2" t="s">
        <v>520</v>
      </c>
      <c r="J6" s="2" t="s">
        <v>521</v>
      </c>
      <c r="K6" s="2">
        <v>36820707</v>
      </c>
      <c r="L6" s="2" t="s">
        <v>522</v>
      </c>
      <c r="M6" s="6">
        <v>46271</v>
      </c>
      <c r="N6" s="2" t="s">
        <v>516</v>
      </c>
      <c r="O6" s="2" t="b">
        <v>1</v>
      </c>
      <c r="P6" s="2" t="s">
        <v>523</v>
      </c>
      <c r="Q6" s="2" t="s">
        <v>524</v>
      </c>
      <c r="R6" s="2" t="s">
        <v>525</v>
      </c>
      <c r="S6" s="2" t="s">
        <v>526</v>
      </c>
    </row>
    <row r="7" spans="1:19" x14ac:dyDescent="0.3">
      <c r="A7" s="2" t="s">
        <v>254</v>
      </c>
      <c r="B7" s="2" t="s">
        <v>516</v>
      </c>
      <c r="C7" s="2" t="s">
        <v>517</v>
      </c>
      <c r="D7" s="2" t="s">
        <v>527</v>
      </c>
      <c r="E7" s="2">
        <v>2023</v>
      </c>
      <c r="F7" s="2" t="s">
        <v>528</v>
      </c>
      <c r="G7" s="2">
        <v>5</v>
      </c>
      <c r="H7" s="2"/>
      <c r="I7" s="2">
        <v>1130812</v>
      </c>
      <c r="J7" s="2" t="s">
        <v>529</v>
      </c>
      <c r="K7" s="2">
        <v>37229362</v>
      </c>
      <c r="L7" s="2" t="s">
        <v>530</v>
      </c>
      <c r="M7" s="6">
        <v>46271</v>
      </c>
      <c r="N7" s="2" t="s">
        <v>516</v>
      </c>
      <c r="O7" s="2" t="b">
        <v>1</v>
      </c>
      <c r="P7" s="2" t="s">
        <v>531</v>
      </c>
      <c r="Q7" s="2" t="s">
        <v>532</v>
      </c>
      <c r="R7" s="2" t="s">
        <v>533</v>
      </c>
      <c r="S7" s="2" t="s">
        <v>534</v>
      </c>
    </row>
    <row r="8" spans="1:19" x14ac:dyDescent="0.3">
      <c r="A8" s="2" t="s">
        <v>247</v>
      </c>
      <c r="B8" s="2" t="s">
        <v>516</v>
      </c>
      <c r="C8" s="2" t="s">
        <v>535</v>
      </c>
      <c r="D8" s="2" t="s">
        <v>536</v>
      </c>
      <c r="E8" s="2">
        <v>2025</v>
      </c>
      <c r="F8" s="2" t="s">
        <v>528</v>
      </c>
      <c r="G8" s="2">
        <v>7</v>
      </c>
      <c r="H8" s="2"/>
      <c r="I8" s="2">
        <v>1650198</v>
      </c>
      <c r="J8" s="2" t="s">
        <v>537</v>
      </c>
      <c r="K8" s="2">
        <v>41103490</v>
      </c>
      <c r="L8" s="2" t="s">
        <v>538</v>
      </c>
      <c r="M8" s="6">
        <v>46271</v>
      </c>
      <c r="N8" s="2" t="s">
        <v>516</v>
      </c>
      <c r="O8" s="2" t="b">
        <v>1</v>
      </c>
      <c r="P8" s="2" t="s">
        <v>539</v>
      </c>
      <c r="Q8" s="2" t="s">
        <v>540</v>
      </c>
      <c r="R8" s="2" t="s">
        <v>541</v>
      </c>
      <c r="S8" s="2" t="s">
        <v>542</v>
      </c>
    </row>
    <row r="9" spans="1:19" x14ac:dyDescent="0.3">
      <c r="A9" s="2" t="s">
        <v>282</v>
      </c>
      <c r="B9" s="2" t="s">
        <v>516</v>
      </c>
      <c r="C9" s="2" t="s">
        <v>543</v>
      </c>
      <c r="D9" s="2" t="s">
        <v>544</v>
      </c>
      <c r="E9" s="2">
        <v>2023</v>
      </c>
      <c r="F9" s="2" t="s">
        <v>528</v>
      </c>
      <c r="G9" s="2">
        <v>5</v>
      </c>
      <c r="H9" s="2"/>
      <c r="I9" s="2">
        <v>1269870</v>
      </c>
      <c r="J9" s="2" t="s">
        <v>545</v>
      </c>
      <c r="K9" s="2">
        <v>38162697</v>
      </c>
      <c r="L9" s="2" t="s">
        <v>546</v>
      </c>
      <c r="M9" s="6">
        <v>46271</v>
      </c>
      <c r="N9" s="2" t="s">
        <v>516</v>
      </c>
      <c r="O9" s="2" t="b">
        <v>1</v>
      </c>
      <c r="P9" s="2" t="s">
        <v>547</v>
      </c>
      <c r="Q9" s="2" t="s">
        <v>548</v>
      </c>
      <c r="R9" s="2" t="s">
        <v>549</v>
      </c>
      <c r="S9" s="2" t="s">
        <v>550</v>
      </c>
    </row>
    <row r="10" spans="1:19" x14ac:dyDescent="0.3">
      <c r="A10" s="2" t="s">
        <v>342</v>
      </c>
      <c r="B10" s="2" t="s">
        <v>551</v>
      </c>
      <c r="C10" s="2" t="s">
        <v>552</v>
      </c>
      <c r="D10" s="2" t="s">
        <v>553</v>
      </c>
      <c r="E10" s="2">
        <v>2016</v>
      </c>
      <c r="F10" s="2" t="s">
        <v>554</v>
      </c>
      <c r="G10" s="2">
        <v>50</v>
      </c>
      <c r="H10" s="2">
        <v>17</v>
      </c>
      <c r="I10" s="2" t="s">
        <v>555</v>
      </c>
      <c r="J10" s="2" t="s">
        <v>556</v>
      </c>
      <c r="K10" s="2">
        <v>27535989</v>
      </c>
      <c r="L10" s="2" t="s">
        <v>557</v>
      </c>
      <c r="M10" s="6">
        <v>46271</v>
      </c>
      <c r="N10" s="2" t="s">
        <v>558</v>
      </c>
      <c r="O10" s="2" t="b">
        <v>0</v>
      </c>
      <c r="P10" s="2" t="s">
        <v>559</v>
      </c>
      <c r="Q10" s="2" t="s">
        <v>560</v>
      </c>
      <c r="R10" s="2" t="s">
        <v>561</v>
      </c>
      <c r="S10" s="2" t="s">
        <v>562</v>
      </c>
    </row>
    <row r="11" spans="1:19" x14ac:dyDescent="0.3">
      <c r="A11" s="2" t="s">
        <v>206</v>
      </c>
      <c r="B11" s="2" t="s">
        <v>563</v>
      </c>
      <c r="C11" s="2" t="s">
        <v>564</v>
      </c>
      <c r="D11" s="2" t="s">
        <v>565</v>
      </c>
      <c r="E11" s="2">
        <v>2009</v>
      </c>
      <c r="F11" s="2" t="s">
        <v>566</v>
      </c>
      <c r="G11" s="2">
        <v>41</v>
      </c>
      <c r="H11" s="2">
        <v>3</v>
      </c>
      <c r="I11" s="2" t="s">
        <v>567</v>
      </c>
      <c r="J11" s="2" t="s">
        <v>568</v>
      </c>
      <c r="K11" s="2">
        <v>19204579</v>
      </c>
      <c r="L11" s="2" t="s">
        <v>569</v>
      </c>
      <c r="M11" s="6">
        <v>46271</v>
      </c>
      <c r="N11" s="2" t="s">
        <v>570</v>
      </c>
      <c r="O11" s="2" t="b">
        <v>0</v>
      </c>
      <c r="P11" s="2" t="s">
        <v>571</v>
      </c>
      <c r="Q11" s="2" t="s">
        <v>572</v>
      </c>
      <c r="R11" s="2" t="s">
        <v>573</v>
      </c>
      <c r="S11" s="2" t="s">
        <v>562</v>
      </c>
    </row>
    <row r="12" spans="1:19" x14ac:dyDescent="0.3">
      <c r="A12" s="2" t="s">
        <v>338</v>
      </c>
      <c r="B12" s="2" t="s">
        <v>504</v>
      </c>
      <c r="C12" s="2" t="s">
        <v>574</v>
      </c>
      <c r="D12" s="2" t="s">
        <v>575</v>
      </c>
      <c r="E12" s="2">
        <v>2021</v>
      </c>
      <c r="F12" s="2" t="s">
        <v>519</v>
      </c>
      <c r="G12" s="2">
        <v>35</v>
      </c>
      <c r="H12" s="2">
        <v>4</v>
      </c>
      <c r="I12" s="2" t="s">
        <v>576</v>
      </c>
      <c r="J12" s="2" t="s">
        <v>577</v>
      </c>
      <c r="K12" s="2">
        <v>33555822</v>
      </c>
      <c r="L12" s="2" t="s">
        <v>578</v>
      </c>
      <c r="M12" s="6">
        <v>46271</v>
      </c>
      <c r="N12" s="2" t="s">
        <v>511</v>
      </c>
      <c r="O12" s="2" t="b">
        <v>0</v>
      </c>
      <c r="P12" s="2" t="s">
        <v>579</v>
      </c>
      <c r="Q12" s="2" t="s">
        <v>580</v>
      </c>
      <c r="R12" s="2" t="s">
        <v>581</v>
      </c>
      <c r="S12" s="2" t="s">
        <v>562</v>
      </c>
    </row>
  </sheetData>
  <mergeCells count="2">
    <mergeCell ref="A1:H1"/>
    <mergeCell ref="A2:H2"/>
  </mergeCell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D06C4-4D5B-4979-83B4-BE428EDD0D22}">
  <sheetPr codeName="Hoja19"/>
  <dimension ref="A1:H21"/>
  <sheetViews>
    <sheetView workbookViewId="0"/>
  </sheetViews>
  <sheetFormatPr baseColWidth="10" defaultRowHeight="14.4" x14ac:dyDescent="0.3"/>
  <cols>
    <col min="1" max="1" width="12.77734375" style="1" bestFit="1" customWidth="1"/>
    <col min="2" max="2" width="16.88671875" style="1" bestFit="1" customWidth="1"/>
    <col min="3" max="3" width="11.6640625" style="1" bestFit="1" customWidth="1"/>
    <col min="4" max="4" width="18.88671875" style="1" bestFit="1" customWidth="1"/>
    <col min="5" max="5" width="19.33203125" style="1" bestFit="1" customWidth="1"/>
    <col min="6" max="6" width="68.33203125" style="1" bestFit="1" customWidth="1"/>
    <col min="7" max="8" width="18.77734375" style="1" customWidth="1"/>
    <col min="9" max="16384" width="11.5546875" style="1"/>
  </cols>
  <sheetData>
    <row r="1" spans="1:8" ht="34.049999999999997" customHeight="1" x14ac:dyDescent="0.3">
      <c r="A1" s="8" t="s">
        <v>19</v>
      </c>
      <c r="B1" s="9"/>
      <c r="C1" s="9"/>
      <c r="D1" s="9"/>
      <c r="E1" s="9"/>
      <c r="F1" s="9"/>
      <c r="G1" s="9"/>
      <c r="H1" s="9"/>
    </row>
    <row r="2" spans="1:8" x14ac:dyDescent="0.3">
      <c r="A2" s="10" t="s">
        <v>1</v>
      </c>
      <c r="B2" s="11"/>
      <c r="C2" s="11"/>
      <c r="D2" s="11"/>
      <c r="E2" s="11"/>
      <c r="F2" s="11"/>
      <c r="G2" s="11"/>
      <c r="H2" s="11"/>
    </row>
    <row r="3" spans="1:8" ht="7.95" customHeight="1" x14ac:dyDescent="0.3">
      <c r="A3" s="2"/>
      <c r="B3" s="2"/>
      <c r="C3" s="2"/>
      <c r="D3" s="2"/>
      <c r="E3" s="2"/>
      <c r="F3" s="2"/>
      <c r="G3" s="2"/>
      <c r="H3" s="2"/>
    </row>
    <row r="4" spans="1:8" x14ac:dyDescent="0.3">
      <c r="A4" s="2" t="s">
        <v>268</v>
      </c>
      <c r="B4" s="2" t="s">
        <v>267</v>
      </c>
      <c r="C4" s="2" t="s">
        <v>240</v>
      </c>
      <c r="D4" s="2" t="s">
        <v>582</v>
      </c>
      <c r="E4" s="2" t="s">
        <v>583</v>
      </c>
      <c r="F4" s="2" t="s">
        <v>56</v>
      </c>
      <c r="G4" s="2"/>
      <c r="H4" s="2"/>
    </row>
    <row r="5" spans="1:8" x14ac:dyDescent="0.3">
      <c r="A5" s="2" t="s">
        <v>305</v>
      </c>
      <c r="B5" s="2" t="s">
        <v>304</v>
      </c>
      <c r="C5" s="2" t="s">
        <v>282</v>
      </c>
      <c r="D5" s="2" t="s">
        <v>278</v>
      </c>
      <c r="E5" s="2" t="s">
        <v>584</v>
      </c>
      <c r="F5" s="2" t="s">
        <v>585</v>
      </c>
      <c r="G5" s="2"/>
      <c r="H5" s="2"/>
    </row>
    <row r="6" spans="1:8" x14ac:dyDescent="0.3">
      <c r="A6" s="2" t="s">
        <v>308</v>
      </c>
      <c r="B6" s="2" t="s">
        <v>304</v>
      </c>
      <c r="C6" s="2" t="s">
        <v>282</v>
      </c>
      <c r="D6" s="2" t="s">
        <v>278</v>
      </c>
      <c r="E6" s="2" t="s">
        <v>584</v>
      </c>
      <c r="F6" s="2" t="s">
        <v>586</v>
      </c>
      <c r="G6" s="2"/>
      <c r="H6" s="2"/>
    </row>
    <row r="7" spans="1:8" x14ac:dyDescent="0.3">
      <c r="A7" s="2" t="s">
        <v>308</v>
      </c>
      <c r="B7" s="2" t="s">
        <v>304</v>
      </c>
      <c r="C7" s="2" t="s">
        <v>342</v>
      </c>
      <c r="D7" s="2" t="s">
        <v>587</v>
      </c>
      <c r="E7" s="2" t="s">
        <v>588</v>
      </c>
      <c r="F7" s="2" t="s">
        <v>589</v>
      </c>
      <c r="G7" s="2"/>
      <c r="H7" s="2"/>
    </row>
    <row r="8" spans="1:8" x14ac:dyDescent="0.3">
      <c r="A8" s="2" t="s">
        <v>312</v>
      </c>
      <c r="B8" s="2" t="s">
        <v>304</v>
      </c>
      <c r="C8" s="2" t="s">
        <v>163</v>
      </c>
      <c r="D8" s="2" t="s">
        <v>590</v>
      </c>
      <c r="E8" s="2" t="s">
        <v>588</v>
      </c>
      <c r="F8" s="2" t="s">
        <v>591</v>
      </c>
      <c r="G8" s="2"/>
      <c r="H8" s="2"/>
    </row>
    <row r="9" spans="1:8" x14ac:dyDescent="0.3">
      <c r="A9" s="2" t="s">
        <v>312</v>
      </c>
      <c r="B9" s="2" t="s">
        <v>304</v>
      </c>
      <c r="C9" s="2" t="s">
        <v>197</v>
      </c>
      <c r="D9" s="2" t="s">
        <v>590</v>
      </c>
      <c r="E9" s="2" t="s">
        <v>588</v>
      </c>
      <c r="F9" s="2" t="s">
        <v>592</v>
      </c>
      <c r="G9" s="2"/>
      <c r="H9" s="2"/>
    </row>
    <row r="10" spans="1:8" x14ac:dyDescent="0.3">
      <c r="A10" s="2" t="s">
        <v>317</v>
      </c>
      <c r="B10" s="2" t="s">
        <v>304</v>
      </c>
      <c r="C10" s="2" t="s">
        <v>163</v>
      </c>
      <c r="D10" s="2" t="s">
        <v>593</v>
      </c>
      <c r="E10" s="2" t="s">
        <v>588</v>
      </c>
      <c r="F10" s="2" t="s">
        <v>594</v>
      </c>
      <c r="G10" s="2"/>
      <c r="H10" s="2"/>
    </row>
    <row r="11" spans="1:8" x14ac:dyDescent="0.3">
      <c r="A11" s="2" t="s">
        <v>320</v>
      </c>
      <c r="B11" s="2" t="s">
        <v>304</v>
      </c>
      <c r="C11" s="2" t="s">
        <v>197</v>
      </c>
      <c r="D11" s="2" t="s">
        <v>593</v>
      </c>
      <c r="E11" s="2" t="s">
        <v>588</v>
      </c>
      <c r="F11" s="2" t="s">
        <v>595</v>
      </c>
      <c r="G11" s="2"/>
      <c r="H11" s="2"/>
    </row>
    <row r="12" spans="1:8" x14ac:dyDescent="0.3">
      <c r="A12" s="2" t="s">
        <v>320</v>
      </c>
      <c r="B12" s="2" t="s">
        <v>304</v>
      </c>
      <c r="C12" s="2" t="s">
        <v>206</v>
      </c>
      <c r="D12" s="2" t="s">
        <v>587</v>
      </c>
      <c r="E12" s="2" t="s">
        <v>588</v>
      </c>
      <c r="F12" s="2" t="s">
        <v>596</v>
      </c>
      <c r="G12" s="2"/>
      <c r="H12" s="2"/>
    </row>
    <row r="13" spans="1:8" x14ac:dyDescent="0.3">
      <c r="A13" s="2" t="s">
        <v>326</v>
      </c>
      <c r="B13" s="2" t="s">
        <v>304</v>
      </c>
      <c r="C13" s="2" t="s">
        <v>206</v>
      </c>
      <c r="D13" s="2" t="s">
        <v>590</v>
      </c>
      <c r="E13" s="2" t="s">
        <v>584</v>
      </c>
      <c r="F13" s="2" t="s">
        <v>597</v>
      </c>
      <c r="G13" s="2"/>
      <c r="H13" s="2"/>
    </row>
    <row r="14" spans="1:8" x14ac:dyDescent="0.3">
      <c r="A14" s="2" t="s">
        <v>329</v>
      </c>
      <c r="B14" s="2" t="s">
        <v>304</v>
      </c>
      <c r="C14" s="2" t="s">
        <v>163</v>
      </c>
      <c r="D14" s="2" t="s">
        <v>593</v>
      </c>
      <c r="E14" s="2" t="s">
        <v>588</v>
      </c>
      <c r="F14" s="2" t="s">
        <v>598</v>
      </c>
      <c r="G14" s="2"/>
      <c r="H14" s="2"/>
    </row>
    <row r="15" spans="1:8" x14ac:dyDescent="0.3">
      <c r="A15" s="2" t="s">
        <v>332</v>
      </c>
      <c r="B15" s="2" t="s">
        <v>304</v>
      </c>
      <c r="C15" s="2" t="s">
        <v>163</v>
      </c>
      <c r="D15" s="2" t="s">
        <v>590</v>
      </c>
      <c r="E15" s="2" t="s">
        <v>584</v>
      </c>
      <c r="F15" s="2" t="s">
        <v>599</v>
      </c>
      <c r="G15" s="2"/>
      <c r="H15" s="2"/>
    </row>
    <row r="16" spans="1:8" x14ac:dyDescent="0.3">
      <c r="A16" s="2" t="s">
        <v>332</v>
      </c>
      <c r="B16" s="2" t="s">
        <v>304</v>
      </c>
      <c r="C16" s="2" t="s">
        <v>197</v>
      </c>
      <c r="D16" s="2" t="s">
        <v>590</v>
      </c>
      <c r="E16" s="2" t="s">
        <v>584</v>
      </c>
      <c r="F16" s="2" t="s">
        <v>599</v>
      </c>
      <c r="G16" s="2"/>
      <c r="H16" s="2"/>
    </row>
    <row r="17" spans="1:8" x14ac:dyDescent="0.3">
      <c r="A17" s="2" t="s">
        <v>332</v>
      </c>
      <c r="B17" s="2" t="s">
        <v>304</v>
      </c>
      <c r="C17" s="2" t="s">
        <v>206</v>
      </c>
      <c r="D17" s="2" t="s">
        <v>587</v>
      </c>
      <c r="E17" s="2" t="s">
        <v>588</v>
      </c>
      <c r="F17" s="2" t="s">
        <v>600</v>
      </c>
      <c r="G17" s="2"/>
      <c r="H17" s="2"/>
    </row>
    <row r="18" spans="1:8" x14ac:dyDescent="0.3">
      <c r="A18" s="2" t="s">
        <v>336</v>
      </c>
      <c r="B18" s="2" t="s">
        <v>304</v>
      </c>
      <c r="C18" s="2" t="s">
        <v>338</v>
      </c>
      <c r="D18" s="2" t="s">
        <v>587</v>
      </c>
      <c r="E18" s="2" t="s">
        <v>588</v>
      </c>
      <c r="F18" s="2" t="s">
        <v>601</v>
      </c>
      <c r="G18" s="2"/>
      <c r="H18" s="2"/>
    </row>
    <row r="19" spans="1:8" x14ac:dyDescent="0.3">
      <c r="A19" s="2" t="s">
        <v>340</v>
      </c>
      <c r="B19" s="2" t="s">
        <v>304</v>
      </c>
      <c r="C19" s="2" t="s">
        <v>342</v>
      </c>
      <c r="D19" s="2" t="s">
        <v>587</v>
      </c>
      <c r="E19" s="2" t="s">
        <v>588</v>
      </c>
      <c r="F19" s="2" t="s">
        <v>602</v>
      </c>
      <c r="G19" s="2"/>
      <c r="H19" s="2"/>
    </row>
    <row r="20" spans="1:8" x14ac:dyDescent="0.3">
      <c r="A20" s="2" t="s">
        <v>344</v>
      </c>
      <c r="B20" s="2" t="s">
        <v>304</v>
      </c>
      <c r="C20" s="2" t="s">
        <v>342</v>
      </c>
      <c r="D20" s="2" t="s">
        <v>590</v>
      </c>
      <c r="E20" s="2" t="s">
        <v>584</v>
      </c>
      <c r="F20" s="2" t="s">
        <v>603</v>
      </c>
      <c r="G20" s="2"/>
      <c r="H20" s="2"/>
    </row>
    <row r="21" spans="1:8" x14ac:dyDescent="0.3">
      <c r="A21" s="2" t="s">
        <v>347</v>
      </c>
      <c r="B21" s="2" t="s">
        <v>304</v>
      </c>
      <c r="C21" s="2" t="s">
        <v>247</v>
      </c>
      <c r="D21" s="2" t="s">
        <v>593</v>
      </c>
      <c r="E21" s="2" t="s">
        <v>604</v>
      </c>
      <c r="F21" s="2" t="s">
        <v>605</v>
      </c>
      <c r="G21" s="2"/>
      <c r="H21" s="2"/>
    </row>
  </sheetData>
  <mergeCells count="2">
    <mergeCell ref="A1:H1"/>
    <mergeCell ref="A2:H2"/>
  </mergeCell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F5362-F17E-4BFC-B0CC-D38FE72C7A45}">
  <sheetPr codeName="Hoja20"/>
  <dimension ref="A1:H8"/>
  <sheetViews>
    <sheetView workbookViewId="0"/>
  </sheetViews>
  <sheetFormatPr baseColWidth="10" defaultRowHeight="14.4" x14ac:dyDescent="0.3"/>
  <cols>
    <col min="1" max="1" width="10.33203125" style="1" bestFit="1" customWidth="1"/>
    <col min="2" max="2" width="12.44140625" style="1" bestFit="1" customWidth="1"/>
    <col min="3" max="3" width="8.109375" style="1" bestFit="1" customWidth="1"/>
    <col min="4" max="4" width="8.5546875" style="1" bestFit="1" customWidth="1"/>
    <col min="5" max="8" width="18.77734375" style="1" customWidth="1"/>
    <col min="9" max="16384" width="11.5546875" style="1"/>
  </cols>
  <sheetData>
    <row r="1" spans="1:8" ht="34.049999999999997" customHeight="1" x14ac:dyDescent="0.3">
      <c r="A1" s="8" t="s">
        <v>20</v>
      </c>
      <c r="B1" s="9"/>
      <c r="C1" s="9"/>
      <c r="D1" s="9"/>
      <c r="E1" s="9"/>
      <c r="F1" s="9"/>
      <c r="G1" s="9"/>
      <c r="H1" s="9"/>
    </row>
    <row r="2" spans="1:8" x14ac:dyDescent="0.3">
      <c r="A2" s="10" t="s">
        <v>1</v>
      </c>
      <c r="B2" s="11"/>
      <c r="C2" s="11"/>
      <c r="D2" s="11"/>
      <c r="E2" s="11"/>
      <c r="F2" s="11"/>
      <c r="G2" s="11"/>
      <c r="H2" s="11"/>
    </row>
    <row r="3" spans="1:8" ht="7.95" customHeight="1" x14ac:dyDescent="0.3">
      <c r="A3" s="2"/>
      <c r="B3" s="2"/>
      <c r="C3" s="2"/>
      <c r="D3" s="2"/>
      <c r="E3" s="2"/>
      <c r="F3" s="2"/>
      <c r="G3" s="2"/>
      <c r="H3" s="2"/>
    </row>
    <row r="4" spans="1:8" x14ac:dyDescent="0.3">
      <c r="A4" s="2" t="s">
        <v>606</v>
      </c>
      <c r="B4" s="2" t="s">
        <v>607</v>
      </c>
      <c r="C4" s="2" t="s">
        <v>608</v>
      </c>
      <c r="D4" s="2" t="s">
        <v>609</v>
      </c>
      <c r="E4" s="2"/>
      <c r="F4" s="2"/>
      <c r="G4" s="2"/>
      <c r="H4" s="2"/>
    </row>
    <row r="5" spans="1:8" x14ac:dyDescent="0.3">
      <c r="A5" s="2" t="s">
        <v>610</v>
      </c>
      <c r="B5" s="2" t="s">
        <v>220</v>
      </c>
      <c r="C5" s="2" t="s">
        <v>611</v>
      </c>
      <c r="D5" s="2">
        <v>1</v>
      </c>
      <c r="E5" s="2"/>
      <c r="F5" s="2"/>
      <c r="G5" s="2"/>
      <c r="H5" s="2"/>
    </row>
    <row r="6" spans="1:8" x14ac:dyDescent="0.3">
      <c r="A6" s="2" t="s">
        <v>610</v>
      </c>
      <c r="B6" s="2" t="s">
        <v>220</v>
      </c>
      <c r="C6" s="2" t="s">
        <v>612</v>
      </c>
      <c r="D6" s="2">
        <v>2</v>
      </c>
      <c r="E6" s="2"/>
      <c r="F6" s="2"/>
      <c r="G6" s="2"/>
      <c r="H6" s="2"/>
    </row>
    <row r="7" spans="1:8" x14ac:dyDescent="0.3">
      <c r="A7" s="2" t="s">
        <v>613</v>
      </c>
      <c r="B7" s="2" t="s">
        <v>171</v>
      </c>
      <c r="C7" s="2" t="s">
        <v>614</v>
      </c>
      <c r="D7" s="2">
        <v>1</v>
      </c>
      <c r="E7" s="2"/>
      <c r="F7" s="2"/>
      <c r="G7" s="2"/>
      <c r="H7" s="2"/>
    </row>
    <row r="8" spans="1:8" x14ac:dyDescent="0.3">
      <c r="A8" s="2" t="s">
        <v>613</v>
      </c>
      <c r="B8" s="2" t="s">
        <v>171</v>
      </c>
      <c r="C8" s="2" t="s">
        <v>615</v>
      </c>
      <c r="D8" s="2">
        <v>2</v>
      </c>
      <c r="E8" s="2"/>
      <c r="F8" s="2"/>
      <c r="G8" s="2"/>
      <c r="H8" s="2"/>
    </row>
  </sheetData>
  <mergeCells count="2">
    <mergeCell ref="A1:H1"/>
    <mergeCell ref="A2:H2"/>
  </mergeCell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E1652-2DAF-4FD2-A69A-5368114994EB}">
  <sheetPr codeName="Hoja21"/>
  <dimension ref="A1:I4"/>
  <sheetViews>
    <sheetView workbookViewId="0"/>
  </sheetViews>
  <sheetFormatPr baseColWidth="10" defaultRowHeight="14.4" x14ac:dyDescent="0.3"/>
  <cols>
    <col min="1" max="1" width="15.5546875" style="1" bestFit="1" customWidth="1"/>
    <col min="2" max="2" width="9.5546875" style="1" bestFit="1" customWidth="1"/>
    <col min="3" max="3" width="9" style="1" bestFit="1" customWidth="1"/>
    <col min="4" max="4" width="7.5546875" style="1" bestFit="1" customWidth="1"/>
    <col min="5" max="5" width="8.88671875" style="1" bestFit="1" customWidth="1"/>
    <col min="6" max="6" width="7" style="1" bestFit="1" customWidth="1"/>
    <col min="7" max="7" width="10.88671875" style="1" bestFit="1" customWidth="1"/>
    <col min="8" max="8" width="10" style="1" bestFit="1" customWidth="1"/>
    <col min="9" max="9" width="15.33203125" style="1" bestFit="1" customWidth="1"/>
    <col min="10" max="16384" width="11.5546875" style="1"/>
  </cols>
  <sheetData>
    <row r="1" spans="1:9" ht="34.049999999999997" customHeight="1" x14ac:dyDescent="0.3">
      <c r="A1" s="8" t="s">
        <v>21</v>
      </c>
      <c r="B1" s="9"/>
      <c r="C1" s="9"/>
      <c r="D1" s="9"/>
      <c r="E1" s="9"/>
      <c r="F1" s="9"/>
      <c r="G1" s="9"/>
      <c r="H1" s="9"/>
      <c r="I1" s="2"/>
    </row>
    <row r="2" spans="1:9" x14ac:dyDescent="0.3">
      <c r="A2" s="10" t="s">
        <v>1</v>
      </c>
      <c r="B2" s="11"/>
      <c r="C2" s="11"/>
      <c r="D2" s="11"/>
      <c r="E2" s="11"/>
      <c r="F2" s="11"/>
      <c r="G2" s="11"/>
      <c r="H2" s="11"/>
      <c r="I2" s="2"/>
    </row>
    <row r="3" spans="1:9" ht="7.95" customHeight="1" x14ac:dyDescent="0.3">
      <c r="A3" s="2"/>
      <c r="B3" s="2"/>
      <c r="C3" s="2"/>
      <c r="D3" s="2"/>
      <c r="E3" s="2"/>
      <c r="F3" s="2"/>
      <c r="G3" s="2"/>
      <c r="H3" s="2"/>
      <c r="I3" s="2"/>
    </row>
    <row r="4" spans="1:9" x14ac:dyDescent="0.3">
      <c r="A4" s="2" t="s">
        <v>616</v>
      </c>
      <c r="B4" s="2" t="s">
        <v>29</v>
      </c>
      <c r="C4" s="2" t="s">
        <v>76</v>
      </c>
      <c r="D4" s="2" t="s">
        <v>112</v>
      </c>
      <c r="E4" s="2" t="s">
        <v>617</v>
      </c>
      <c r="F4" s="2" t="s">
        <v>236</v>
      </c>
      <c r="G4" s="2" t="s">
        <v>237</v>
      </c>
      <c r="H4" s="2" t="s">
        <v>115</v>
      </c>
      <c r="I4" s="2" t="s">
        <v>618</v>
      </c>
    </row>
  </sheetData>
  <mergeCells count="2">
    <mergeCell ref="A1:H1"/>
    <mergeCell ref="A2:H2"/>
  </mergeCells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F9C0F-32CC-40F1-8FC3-F63C0ADCD61A}">
  <sheetPr codeName="Hoja22"/>
  <dimension ref="A1:J11"/>
  <sheetViews>
    <sheetView workbookViewId="0"/>
  </sheetViews>
  <sheetFormatPr baseColWidth="10" defaultRowHeight="14.4" x14ac:dyDescent="0.3"/>
  <cols>
    <col min="1" max="1" width="13.21875" style="1" bestFit="1" customWidth="1"/>
    <col min="2" max="2" width="9.5546875" style="1" bestFit="1" customWidth="1"/>
    <col min="3" max="3" width="9.21875" style="1" bestFit="1" customWidth="1"/>
    <col min="4" max="4" width="22" style="1" bestFit="1" customWidth="1"/>
    <col min="5" max="5" width="9.21875" style="1" bestFit="1" customWidth="1"/>
    <col min="6" max="6" width="14" style="1" bestFit="1" customWidth="1"/>
    <col min="7" max="7" width="9" style="1" bestFit="1" customWidth="1"/>
    <col min="8" max="8" width="16.21875" style="1" bestFit="1" customWidth="1"/>
    <col min="9" max="9" width="12.44140625" style="1" bestFit="1" customWidth="1"/>
    <col min="10" max="10" width="13.44140625" style="1" bestFit="1" customWidth="1"/>
    <col min="11" max="16384" width="11.5546875" style="1"/>
  </cols>
  <sheetData>
    <row r="1" spans="1:10" ht="34.049999999999997" customHeight="1" x14ac:dyDescent="0.3">
      <c r="A1" s="8" t="s">
        <v>22</v>
      </c>
      <c r="B1" s="9"/>
      <c r="C1" s="9"/>
      <c r="D1" s="9"/>
      <c r="E1" s="9"/>
      <c r="F1" s="9"/>
      <c r="G1" s="9"/>
      <c r="H1" s="9"/>
      <c r="I1" s="2"/>
      <c r="J1" s="2"/>
    </row>
    <row r="2" spans="1:10" x14ac:dyDescent="0.3">
      <c r="A2" s="10" t="s">
        <v>1</v>
      </c>
      <c r="B2" s="11"/>
      <c r="C2" s="11"/>
      <c r="D2" s="11"/>
      <c r="E2" s="11"/>
      <c r="F2" s="11"/>
      <c r="G2" s="11"/>
      <c r="H2" s="11"/>
      <c r="I2" s="2"/>
      <c r="J2" s="2"/>
    </row>
    <row r="3" spans="1:10" ht="7.95" customHeight="1" x14ac:dyDescent="0.3">
      <c r="A3" s="2"/>
      <c r="B3" s="2"/>
      <c r="C3" s="2"/>
      <c r="D3" s="2"/>
      <c r="E3" s="2"/>
      <c r="F3" s="2"/>
      <c r="G3" s="2"/>
      <c r="H3" s="2"/>
      <c r="I3" s="2"/>
      <c r="J3" s="2"/>
    </row>
    <row r="4" spans="1:10" x14ac:dyDescent="0.3">
      <c r="A4" s="2" t="s">
        <v>619</v>
      </c>
      <c r="B4" s="2" t="s">
        <v>29</v>
      </c>
      <c r="C4" s="2" t="s">
        <v>109</v>
      </c>
      <c r="D4" s="2" t="s">
        <v>620</v>
      </c>
      <c r="E4" s="2" t="s">
        <v>268</v>
      </c>
      <c r="F4" s="2" t="s">
        <v>621</v>
      </c>
      <c r="G4" s="2" t="s">
        <v>622</v>
      </c>
      <c r="H4" s="2" t="s">
        <v>623</v>
      </c>
      <c r="I4" s="2" t="s">
        <v>624</v>
      </c>
      <c r="J4" s="2" t="s">
        <v>108</v>
      </c>
    </row>
    <row r="5" spans="1:10" x14ac:dyDescent="0.3">
      <c r="A5" s="2" t="s">
        <v>633</v>
      </c>
      <c r="B5" s="2" t="s">
        <v>30</v>
      </c>
      <c r="C5" s="2" t="s">
        <v>634</v>
      </c>
      <c r="D5" s="2" t="s">
        <v>276</v>
      </c>
      <c r="E5" s="2" t="s">
        <v>287</v>
      </c>
      <c r="F5" s="2" t="s">
        <v>635</v>
      </c>
      <c r="G5" s="2" t="s">
        <v>636</v>
      </c>
      <c r="H5" s="2"/>
      <c r="I5" s="2"/>
      <c r="J5" s="14">
        <v>46271.186678240738</v>
      </c>
    </row>
    <row r="6" spans="1:10" x14ac:dyDescent="0.3">
      <c r="A6" s="2" t="s">
        <v>637</v>
      </c>
      <c r="B6" s="2" t="s">
        <v>30</v>
      </c>
      <c r="C6" s="2" t="s">
        <v>634</v>
      </c>
      <c r="D6" s="2" t="s">
        <v>276</v>
      </c>
      <c r="E6" s="2" t="s">
        <v>293</v>
      </c>
      <c r="F6" s="2" t="s">
        <v>635</v>
      </c>
      <c r="G6" s="2" t="s">
        <v>638</v>
      </c>
      <c r="H6" s="2"/>
      <c r="I6" s="2"/>
      <c r="J6" s="14">
        <v>46271.186678240738</v>
      </c>
    </row>
    <row r="7" spans="1:10" x14ac:dyDescent="0.3">
      <c r="A7" s="2" t="s">
        <v>639</v>
      </c>
      <c r="B7" s="2" t="s">
        <v>30</v>
      </c>
      <c r="C7" s="2" t="s">
        <v>634</v>
      </c>
      <c r="D7" s="2" t="s">
        <v>276</v>
      </c>
      <c r="E7" s="2" t="s">
        <v>297</v>
      </c>
      <c r="F7" s="2" t="s">
        <v>635</v>
      </c>
      <c r="G7" s="2" t="s">
        <v>640</v>
      </c>
      <c r="H7" s="2"/>
      <c r="I7" s="2">
        <v>3</v>
      </c>
      <c r="J7" s="14">
        <v>46271.186678240738</v>
      </c>
    </row>
    <row r="8" spans="1:10" x14ac:dyDescent="0.3">
      <c r="A8" s="2" t="s">
        <v>641</v>
      </c>
      <c r="B8" s="2" t="s">
        <v>30</v>
      </c>
      <c r="C8" s="2" t="s">
        <v>634</v>
      </c>
      <c r="D8" s="2" t="s">
        <v>276</v>
      </c>
      <c r="E8" s="2" t="s">
        <v>297</v>
      </c>
      <c r="F8" s="2" t="s">
        <v>635</v>
      </c>
      <c r="G8" s="2" t="s">
        <v>642</v>
      </c>
      <c r="H8" s="2"/>
      <c r="I8" s="2">
        <v>6</v>
      </c>
      <c r="J8" s="14">
        <v>46271.186678240738</v>
      </c>
    </row>
    <row r="9" spans="1:10" x14ac:dyDescent="0.3">
      <c r="A9" s="2" t="s">
        <v>643</v>
      </c>
      <c r="B9" s="2" t="s">
        <v>30</v>
      </c>
      <c r="C9" s="2" t="s">
        <v>634</v>
      </c>
      <c r="D9" s="2" t="s">
        <v>276</v>
      </c>
      <c r="E9" s="2" t="s">
        <v>297</v>
      </c>
      <c r="F9" s="2" t="s">
        <v>635</v>
      </c>
      <c r="G9" s="2" t="s">
        <v>644</v>
      </c>
      <c r="H9" s="2"/>
      <c r="I9" s="2">
        <v>180</v>
      </c>
      <c r="J9" s="14">
        <v>46271.186678240738</v>
      </c>
    </row>
    <row r="10" spans="1:10" x14ac:dyDescent="0.3">
      <c r="A10" s="2" t="s">
        <v>645</v>
      </c>
      <c r="B10" s="2" t="s">
        <v>30</v>
      </c>
      <c r="C10" s="2" t="s">
        <v>634</v>
      </c>
      <c r="D10" s="2" t="s">
        <v>276</v>
      </c>
      <c r="E10" s="2" t="s">
        <v>297</v>
      </c>
      <c r="F10" s="2" t="s">
        <v>635</v>
      </c>
      <c r="G10" s="2" t="s">
        <v>646</v>
      </c>
      <c r="H10" s="2"/>
      <c r="I10" s="2">
        <v>8</v>
      </c>
      <c r="J10" s="14">
        <v>46271.186678240738</v>
      </c>
    </row>
    <row r="11" spans="1:10" x14ac:dyDescent="0.3">
      <c r="A11" s="2" t="s">
        <v>647</v>
      </c>
      <c r="B11" s="2" t="s">
        <v>30</v>
      </c>
      <c r="C11" s="2" t="s">
        <v>634</v>
      </c>
      <c r="D11" s="2" t="s">
        <v>276</v>
      </c>
      <c r="E11" s="2" t="s">
        <v>300</v>
      </c>
      <c r="F11" s="2" t="s">
        <v>635</v>
      </c>
      <c r="G11" s="2" t="s">
        <v>648</v>
      </c>
      <c r="H11" s="2"/>
      <c r="I11" s="2" t="b">
        <v>1</v>
      </c>
      <c r="J11" s="14">
        <v>46271.186678240738</v>
      </c>
    </row>
  </sheetData>
  <mergeCells count="2">
    <mergeCell ref="A1:H1"/>
    <mergeCell ref="A2:H2"/>
  </mergeCells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B58C3-8EF1-4D64-94C3-54E04C12A198}">
  <sheetPr codeName="Hoja23"/>
  <dimension ref="A1:H6"/>
  <sheetViews>
    <sheetView workbookViewId="0"/>
  </sheetViews>
  <sheetFormatPr baseColWidth="10" defaultRowHeight="14.4" x14ac:dyDescent="0.3"/>
  <cols>
    <col min="1" max="8" width="18.77734375" style="1" customWidth="1"/>
    <col min="9" max="16384" width="11.5546875" style="1"/>
  </cols>
  <sheetData>
    <row r="1" spans="1:8" ht="34.049999999999997" customHeight="1" x14ac:dyDescent="0.3">
      <c r="A1" s="8" t="s">
        <v>23</v>
      </c>
      <c r="B1" s="9"/>
      <c r="C1" s="9"/>
      <c r="D1" s="9"/>
      <c r="E1" s="9"/>
      <c r="F1" s="9"/>
      <c r="G1" s="9"/>
      <c r="H1" s="9"/>
    </row>
    <row r="2" spans="1:8" x14ac:dyDescent="0.3">
      <c r="A2" s="10" t="s">
        <v>1</v>
      </c>
      <c r="B2" s="11"/>
      <c r="C2" s="11"/>
      <c r="D2" s="11"/>
      <c r="E2" s="11"/>
      <c r="F2" s="11"/>
      <c r="G2" s="11"/>
      <c r="H2" s="11"/>
    </row>
    <row r="3" spans="1:8" ht="7.95" customHeight="1" x14ac:dyDescent="0.3">
      <c r="A3" s="2"/>
      <c r="B3" s="2"/>
      <c r="C3" s="2"/>
      <c r="D3" s="2"/>
      <c r="E3" s="2"/>
      <c r="F3" s="2"/>
      <c r="G3" s="2"/>
      <c r="H3" s="2"/>
    </row>
    <row r="4" spans="1:8" x14ac:dyDescent="0.3">
      <c r="A4" s="2" t="s">
        <v>267</v>
      </c>
      <c r="B4" s="7" t="s">
        <v>276</v>
      </c>
      <c r="C4" s="2"/>
      <c r="D4" s="2"/>
      <c r="E4" s="2"/>
      <c r="F4" s="2"/>
      <c r="G4" s="2"/>
      <c r="H4" s="2"/>
    </row>
    <row r="5" spans="1:8" x14ac:dyDescent="0.3">
      <c r="A5" s="2" t="s">
        <v>625</v>
      </c>
      <c r="B5" s="2" t="s">
        <v>626</v>
      </c>
      <c r="C5" s="2"/>
      <c r="D5" s="2"/>
      <c r="E5" s="2"/>
      <c r="F5" s="2"/>
      <c r="G5" s="2"/>
      <c r="H5" s="2"/>
    </row>
    <row r="6" spans="1:8" x14ac:dyDescent="0.3">
      <c r="A6" s="2" t="s">
        <v>627</v>
      </c>
      <c r="B6" s="2" t="b">
        <v>1</v>
      </c>
      <c r="C6" s="2"/>
      <c r="D6" s="2"/>
      <c r="E6" s="2"/>
      <c r="F6" s="2"/>
      <c r="G6" s="2"/>
      <c r="H6" s="2"/>
    </row>
  </sheetData>
  <mergeCells count="2">
    <mergeCell ref="A1:H1"/>
    <mergeCell ref="A2:H2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608BB8-1FDA-408A-9B28-0416D8E50292}">
  <sheetPr codeName="Hoja24"/>
  <dimension ref="A1:H8"/>
  <sheetViews>
    <sheetView workbookViewId="0"/>
  </sheetViews>
  <sheetFormatPr baseColWidth="10" defaultRowHeight="14.4" x14ac:dyDescent="0.3"/>
  <cols>
    <col min="1" max="8" width="18.77734375" style="1" customWidth="1"/>
    <col min="9" max="16384" width="11.5546875" style="1"/>
  </cols>
  <sheetData>
    <row r="1" spans="1:8" ht="34.049999999999997" customHeight="1" x14ac:dyDescent="0.3">
      <c r="A1" s="8" t="s">
        <v>24</v>
      </c>
      <c r="B1" s="9"/>
      <c r="C1" s="9"/>
      <c r="D1" s="9"/>
      <c r="E1" s="9"/>
      <c r="F1" s="9"/>
      <c r="G1" s="9"/>
      <c r="H1" s="9"/>
    </row>
    <row r="2" spans="1:8" x14ac:dyDescent="0.3">
      <c r="A2" s="10" t="s">
        <v>1</v>
      </c>
      <c r="B2" s="11"/>
      <c r="C2" s="11"/>
      <c r="D2" s="11"/>
      <c r="E2" s="11"/>
      <c r="F2" s="11"/>
      <c r="G2" s="11"/>
      <c r="H2" s="11"/>
    </row>
    <row r="3" spans="1:8" ht="7.95" customHeight="1" x14ac:dyDescent="0.3">
      <c r="A3" s="2" t="s">
        <v>628</v>
      </c>
      <c r="B3" s="2"/>
      <c r="C3" s="2"/>
      <c r="D3" s="2"/>
      <c r="E3" s="2"/>
      <c r="F3" s="2"/>
      <c r="G3" s="2"/>
      <c r="H3" s="2"/>
    </row>
    <row r="4" spans="1:8" x14ac:dyDescent="0.3">
      <c r="A4" s="2" t="s">
        <v>629</v>
      </c>
      <c r="B4" s="2"/>
      <c r="C4" s="2"/>
      <c r="D4" s="2"/>
      <c r="E4" s="2"/>
      <c r="F4" s="2"/>
      <c r="G4" s="2"/>
      <c r="H4" s="2"/>
    </row>
    <row r="5" spans="1:8" x14ac:dyDescent="0.3">
      <c r="A5" s="2" t="s">
        <v>630</v>
      </c>
      <c r="B5" s="2"/>
      <c r="C5" s="2"/>
      <c r="D5" s="2"/>
      <c r="E5" s="2"/>
      <c r="F5" s="2"/>
      <c r="G5" s="2"/>
      <c r="H5" s="2"/>
    </row>
    <row r="6" spans="1:8" x14ac:dyDescent="0.3">
      <c r="A6" s="2"/>
      <c r="B6" s="2"/>
      <c r="C6" s="2"/>
      <c r="D6" s="2"/>
      <c r="E6" s="2"/>
      <c r="F6" s="2"/>
      <c r="G6" s="2"/>
      <c r="H6" s="2"/>
    </row>
    <row r="7" spans="1:8" x14ac:dyDescent="0.3">
      <c r="A7" s="2"/>
      <c r="B7" s="2"/>
      <c r="C7" s="2"/>
      <c r="D7" s="2"/>
      <c r="E7" s="2"/>
      <c r="F7" s="2"/>
      <c r="G7" s="2"/>
      <c r="H7" s="2"/>
    </row>
    <row r="8" spans="1:8" x14ac:dyDescent="0.3">
      <c r="A8" s="2" t="s">
        <v>631</v>
      </c>
      <c r="B8" s="2" t="s">
        <v>632</v>
      </c>
      <c r="C8" s="2"/>
      <c r="D8" s="2"/>
      <c r="E8" s="2"/>
      <c r="F8" s="2"/>
      <c r="G8" s="2"/>
      <c r="H8" s="2"/>
    </row>
  </sheetData>
  <mergeCells count="2">
    <mergeCell ref="A1:H1"/>
    <mergeCell ref="A2: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24</vt:i4>
      </vt:variant>
      <vt:variant>
        <vt:lpstr>Rangos con nombre</vt:lpstr>
      </vt:variant>
      <vt:variant>
        <vt:i4>38</vt:i4>
      </vt:variant>
    </vt:vector>
  </HeadingPairs>
  <TitlesOfParts>
    <vt:vector size="62" baseType="lpstr">
      <vt:lpstr>00_INICIO</vt:lpstr>
      <vt:lpstr>01_PERFIL</vt:lpstr>
      <vt:lpstr>02_OBJETIVOS</vt:lpstr>
      <vt:lpstr>03_DISPONIBILIDAD</vt:lpstr>
      <vt:lpstr>04_EQUIPO</vt:lpstr>
      <vt:lpstr>05_EVALUACION</vt:lpstr>
      <vt:lpstr>06_PLAN</vt:lpstr>
      <vt:lpstr>07_SESION_ACTUAL</vt:lpstr>
      <vt:lpstr>08_REGISTRO</vt:lpstr>
      <vt:lpstr>09_PROGRESO</vt:lpstr>
      <vt:lpstr>10_EJERCICIOS</vt:lpstr>
      <vt:lpstr>11_TESTS</vt:lpstr>
      <vt:lpstr>12_REGLAS</vt:lpstr>
      <vt:lpstr>13_CONDICIONES</vt:lpstr>
      <vt:lpstr>14_ACCIONES</vt:lpstr>
      <vt:lpstr>15_PARAMETROS</vt:lpstr>
      <vt:lpstr>16_RULESETS</vt:lpstr>
      <vt:lpstr>17_EVIDENCIA</vt:lpstr>
      <vt:lpstr>18_RULE_EVIDENCE</vt:lpstr>
      <vt:lpstr>19_ESCALAS</vt:lpstr>
      <vt:lpstr>20_HISTORIAL_TESTS</vt:lpstr>
      <vt:lpstr>21_LOG_DECISIONES</vt:lpstr>
      <vt:lpstr>22_CONFIGURACION</vt:lpstr>
      <vt:lpstr>23_DEBUG</vt:lpstr>
      <vt:lpstr>cfgCycleID</vt:lpstr>
      <vt:lpstr>cfgDebug</vt:lpstr>
      <vt:lpstr>cfgRulesetVersion</vt:lpstr>
      <vt:lpstr>inpAge</vt:lpstr>
      <vt:lpstr>inpAlias</vt:lpstr>
      <vt:lpstr>inpAvailableDays</vt:lpstr>
      <vt:lpstr>inpComments</vt:lpstr>
      <vt:lpstr>inpCompletion</vt:lpstr>
      <vt:lpstr>inpDaysAvailable</vt:lpstr>
      <vt:lpstr>inpExperienceYears</vt:lpstr>
      <vt:lpstr>inpFatigue</vt:lpstr>
      <vt:lpstr>inpFeedbackSession</vt:lpstr>
      <vt:lpstr>inpFeedbackStatus</vt:lpstr>
      <vt:lpstr>inpFingerPain</vt:lpstr>
      <vt:lpstr>inpHasBands</vt:lpstr>
      <vt:lpstr>inpHeight</vt:lpstr>
      <vt:lpstr>inpLoadDone</vt:lpstr>
      <vt:lpstr>inpMinRestHours</vt:lpstr>
      <vt:lpstr>inpModality</vt:lpstr>
      <vt:lpstr>inpPainStatus</vt:lpstr>
      <vt:lpstr>inpPrimaryEquipment</vt:lpstr>
      <vt:lpstr>inpPrimaryObjective</vt:lpstr>
      <vt:lpstr>inpQuality</vt:lpstr>
      <vt:lpstr>inpRepsDone</vt:lpstr>
      <vt:lpstr>inpSessionMinutes</vt:lpstr>
      <vt:lpstr>inpSessionPain</vt:lpstr>
      <vt:lpstr>inpSessionRPE</vt:lpstr>
      <vt:lpstr>inpSetsDone</vt:lpstr>
      <vt:lpstr>inpSex</vt:lpstr>
      <vt:lpstr>inpTestID</vt:lpstr>
      <vt:lpstr>inpTestObservations</vt:lpstr>
      <vt:lpstr>inpTestProtocol</vt:lpstr>
      <vt:lpstr>inpTestResult</vt:lpstr>
      <vt:lpstr>inpTestUnit</vt:lpstr>
      <vt:lpstr>inpTimeDone</vt:lpstr>
      <vt:lpstr>inpUserID</vt:lpstr>
      <vt:lpstr>inpWeight</vt:lpstr>
      <vt:lpstr>inpWingspan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Karel Roman Padilla Escobar</dc:creator>
  <cp:lastModifiedBy>Karel Roman Padilla Escobar</cp:lastModifiedBy>
  <dcterms:created xsi:type="dcterms:W3CDTF">2026-09-06T10:28:18Z</dcterms:created>
  <dcterms:modified xsi:type="dcterms:W3CDTF">2026-09-06T10:28:49Z</dcterms:modified>
</cp:coreProperties>
</file>